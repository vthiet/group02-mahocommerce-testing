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Search" sheetId="2" r:id="rId2"/>
    <sheet name="Profile" sheetId="3" r:id="rId3"/>
    <sheet name="Order"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dimension ref="A1:J13"/>
  <sheetViews>
    <sheetView workbookViewId="0" rightToLeft="0"/>
  </sheetViews>
  <cols>
    <col min="1" max="1" customWidth="1" width="30"/>
    <col min="2" max="2" customWidth="1" width="12"/>
    <col min="3" max="3" customWidth="1" width="12"/>
    <col min="4" max="4" customWidth="1" width="12"/>
    <col min="5" max="5" customWidth="1" width="12"/>
    <col min="6" max="6" customWidth="1" width="12"/>
    <col min="7" max="7" customWidth="1" width="22"/>
    <col min="8" max="8" customWidth="1" width="14"/>
    <col min="9" max="9" customWidth="1" width="18"/>
    <col min="10" max="10" customWidth="1" width="24"/>
  </cols>
  <sheetData>
    <row r="1" ht="32" customHeight="1">
      <c r="A1" t="str">
        <v>GROUP 02 — PLAYWRIGHT TEST EXECUTION SUMMARY</v>
      </c>
    </row>
    <row r="2" ht="26" customHeight="1">
      <c r="A2" t="str">
        <v>Workbook: Group02_23130238_VuChauHoaiPhong.xlsx | Demo: https://demo.mahocommerce.com/default/ | Current execution reference: 30/10/2026</v>
      </c>
    </row>
    <row r="4" ht="34" customHeight="1">
      <c r="A4" t="str">
        <v>Function</v>
      </c>
      <c r="B4" t="str">
        <v>Total TC</v>
      </c>
      <c r="C4" t="str">
        <v>PASSED</v>
      </c>
      <c r="D4" t="str">
        <v>FAILED</v>
      </c>
      <c r="E4" t="str">
        <v>BLOCKED</v>
      </c>
      <c r="F4" t="str">
        <v>SKIPPED</v>
      </c>
      <c r="G4" t="str">
        <v>NOT RUN / UNTESTED</v>
      </c>
      <c r="H4" t="str">
        <v>Pass Rate</v>
      </c>
      <c r="I4" t="str">
        <v>90% Target PASS</v>
      </c>
      <c r="J4" t="str">
        <v>Additional PASS needed</v>
      </c>
    </row>
    <row r="5" ht="26" customHeight="1">
      <c r="A5" t="str">
        <v>Search / Faceted Filters</v>
      </c>
      <c r="B5">
        <f>COUNTA('Search'!$A$2:$A$25)</f>
        <v>24</v>
      </c>
      <c r="C5">
        <f>COUNTIF('Search'!$F$2:$F$25,"PASSED")</f>
        <v>21</v>
      </c>
      <c r="D5">
        <f>COUNTIF('Search'!$F$2:$F$25,"FAILED")</f>
        <v>0</v>
      </c>
      <c r="E5">
        <f>COUNTIF('Search'!$F$2:$F$25,"BLOCKED")</f>
        <v>1</v>
      </c>
      <c r="F5">
        <f>COUNTIF('Search'!$F$2:$F$25,"SKIPPED")</f>
        <v>2</v>
      </c>
      <c r="G5">
        <f>COUNTIF('Search'!$F$2:$F$25,"NOT RUN")+COUNTIF('Search'!$F$2:$F$25,"UNTESTED")</f>
        <v>0</v>
      </c>
      <c r="H5" s="1">
        <f>IF(B5=0,0,C5/B5)</f>
        <v>0.875</v>
      </c>
      <c r="I5">
        <f>ROUNDUP(B5*90%,0)</f>
        <v>22</v>
      </c>
      <c r="J5">
        <f>MAX(0,I5-C5)</f>
        <v>1</v>
      </c>
    </row>
    <row r="6" ht="26" customHeight="1">
      <c r="A6" t="str">
        <v>Profile / Address Book</v>
      </c>
      <c r="B6">
        <f>COUNTA('Profile'!$A$2:$A$26)</f>
        <v>25</v>
      </c>
      <c r="C6">
        <f>COUNTIF('Profile'!$F$2:$F$26,"PASSED")</f>
        <v>21</v>
      </c>
      <c r="D6">
        <f>COUNTIF('Profile'!$F$2:$F$26,"FAILED")</f>
        <v>1</v>
      </c>
      <c r="E6">
        <f>COUNTIF('Profile'!$F$2:$F$26,"BLOCKED")</f>
        <v>3</v>
      </c>
      <c r="F6">
        <f>COUNTIF('Profile'!$F$2:$F$26,"SKIPPED")</f>
        <v>0</v>
      </c>
      <c r="G6">
        <f>COUNTIF('Profile'!$F$2:$F$26,"NOT RUN")+COUNTIF('Profile'!$F$2:$F$26,"UNTESTED")</f>
        <v>0</v>
      </c>
      <c r="H6" s="1">
        <f>IF(B6=0,0,C6/B6)</f>
        <v>0.84</v>
      </c>
      <c r="I6">
        <f>ROUNDUP(B6*90%,0)</f>
        <v>23</v>
      </c>
      <c r="J6">
        <f>MAX(0,I6-C6)</f>
        <v>2</v>
      </c>
    </row>
    <row r="7" ht="26" customHeight="1">
      <c r="A7" t="str">
        <v>Order Placement / Invoice</v>
      </c>
      <c r="B7">
        <f>COUNTA('Order'!$A$2:$A$27)</f>
        <v>26</v>
      </c>
      <c r="C7">
        <f>COUNTIF('Order'!$F$2:$F$27,"PASSED")</f>
        <v>17</v>
      </c>
      <c r="D7">
        <f>COUNTIF('Order'!$F$2:$F$27,"FAILED")</f>
        <v>0</v>
      </c>
      <c r="E7">
        <f>COUNTIF('Order'!$F$2:$F$27,"BLOCKED")</f>
        <v>9</v>
      </c>
      <c r="F7">
        <f>COUNTIF('Order'!$F$2:$F$27,"SKIPPED")</f>
        <v>0</v>
      </c>
      <c r="G7">
        <f>COUNTIF('Order'!$F$2:$F$27,"NOT RUN")+COUNTIF('Order'!$F$2:$F$27,"UNTESTED")</f>
        <v>0</v>
      </c>
      <c r="H7" s="1">
        <f>IF(B7=0,0,C7/B7)</f>
        <v>0.6538461538461539</v>
      </c>
      <c r="I7">
        <f>ROUNDUP(B7*90%,0)</f>
        <v>24</v>
      </c>
      <c r="J7">
        <f>MAX(0,I7-C7)</f>
        <v>7</v>
      </c>
    </row>
    <row r="8" ht="42" customHeight="1">
      <c r="A8" t="str">
        <v>Acceptance rule: PASSED / total testcase &gt;= 90%. BLOCKED, SKIPPED, NOT RUN and UNTESTED are not counted as PASSED. Do not change a result to PASSED unless the corresponding test actually passes.</v>
      </c>
    </row>
    <row r="10" ht="22" customHeight="1">
      <c r="A10" t="str">
        <v>Result provenance</v>
      </c>
    </row>
    <row r="11" ht="48" customHeight="1">
      <c r="A11" t="str">
        <v>Search: 21 PASSED / 24 (87.50%); 0 FAILED; 1 BLOCKED; 2 SKIPPED; 0 NOT RUN / UNTESTED. BLOCKED and SKIPPED are not counted as PASSED.</v>
      </c>
    </row>
    <row r="12" ht="44" customHeight="1">
      <c r="A12" t="str">
        <v>Profile: 21 PASSED / 25 (84.00%); 1 FAILED; 3 BLOCKED; 0 SKIPPED; 0 NOT RUN / UNTESTED. BLOCKED and SKIPPED are not counted as PASSED.</v>
      </c>
    </row>
    <row r="13" ht="44" customHeight="1">
      <c r="A13" t="str">
        <v>Order: 17 PASSED / 26 (65.38%); 0 FAILED; 9 BLOCKED; 0 SKIPPED; 0 NOT RUN / UNTESTED. BLOCKED and SKIPPED are not counted as PASSED.</v>
      </c>
    </row>
  </sheetData>
  <mergeCells count="7">
    <mergeCell ref="A1:J1"/>
    <mergeCell ref="A2:J2"/>
    <mergeCell ref="A8:J8"/>
    <mergeCell ref="A10:J10"/>
    <mergeCell ref="A11:J11"/>
    <mergeCell ref="A12:J12"/>
    <mergeCell ref="A13:J13"/>
  </mergeCells>
  <pageMargins left="0.7" right="0.7" top="0.75" bottom="0.75" header="0.3" footer="0.3"/>
  <ignoredErrors>
    <ignoredError numberStoredAsText="1" sqref="A1:J13"/>
  </ignoredErrors>
</worksheet>
</file>

<file path=xl/worksheets/sheet2.xml><?xml version="1.0" encoding="utf-8"?>
<worksheet xmlns="http://schemas.openxmlformats.org/spreadsheetml/2006/main" xmlns:r="http://schemas.openxmlformats.org/officeDocument/2006/relationships">
  <dimension ref="A1:I25"/>
  <sheetViews>
    <sheetView workbookViewId="0" rightToLeft="0"/>
  </sheetViews>
  <cols>
    <col min="1" max="1" customWidth="1" width="28"/>
    <col min="2" max="2" customWidth="1" width="54"/>
    <col min="3" max="3" customWidth="1" width="66"/>
    <col min="4" max="4" customWidth="1" width="58"/>
    <col min="5" max="5" customWidth="1" width="28"/>
    <col min="6" max="6" customWidth="1" width="15"/>
    <col min="7" max="7" customWidth="1" width="16"/>
    <col min="8" max="8" customWidth="1" width="48"/>
    <col min="9" max="9" customWidth="1" width="70"/>
  </cols>
  <sheetData>
    <row r="1" ht="30" customHeight="1">
      <c r="A1" t="str">
        <v>ID</v>
      </c>
      <c r="B1" t="str">
        <v>Test Case Description</v>
      </c>
      <c r="C1" t="str">
        <v>Test Case Procedure</v>
      </c>
      <c r="D1" t="str">
        <v>Expected Output</v>
      </c>
      <c r="E1" t="str">
        <v>Inter-test case Dependence</v>
      </c>
      <c r="F1" t="str">
        <v>Result</v>
      </c>
      <c r="G1" t="str">
        <v>Test date</v>
      </c>
      <c r="H1" t="str">
        <v>Note</v>
      </c>
      <c r="I1" t="str">
        <v>Actual Result</v>
      </c>
    </row>
    <row r="2" ht="110.40000000000002" customHeight="1" xml:space="preserve">
      <c r="A2" t="str">
        <v>Search_Exact_01</v>
      </c>
      <c r="B2" t="str">
        <v>Kiểm tra chức năng tìm kiếm sản phẩm khi nhập đúng tên đầy đủ (Shorts)</v>
      </c>
      <c r="C2" t="str" xml:space="preserve">
        <v xml:space="preserve">Pre-condition:
+ Truy cập URL [https://demo.mahocommerce.com/default/]
Step:
1. Mở trang chủ Storefront
2. Click ô tìm kiếm input#search
3. Nhập từ khóa 'Bib shorts'
4. Click nút tìm kiếm hoặc nhấn Enter</v>
      </c>
      <c r="D2" t="str" xml:space="preserve">
        <v xml:space="preserve">1. Trang chủ hiển thị bình thường
2. Ô tìm kiếm nhận dữ liệu nhập
3. Chuyển hướng đến trang kết quả /catalogsearch/result/?q=Bib shorts
4. Hiển thị đúng chi tiết sản phẩm Bib shorts.</v>
      </c>
      <c r="E2" t="str">
        <v>Không</v>
      </c>
      <c r="F2" t="str">
        <v>PASSED</v>
      </c>
      <c r="G2" t="str">
        <v>2026-10-30</v>
      </c>
      <c r="H2" t="str">
        <v>Testcase cơ bản cho tính năng tìm kiếm theo từ khóa chính xác.</v>
      </c>
      <c r="I2" t="str" xml:space="preserve">
        <v xml:space="preserve">PASSED — Playwright status=passed; URL=https://demo.mahocommerce.com/default/bib-shorts/; UI=Skip to main content
Demo store. Orders are not processed. Next reset in 1h 45m 51s. Switch store
Search:
Your Language:
English
Français
Deutsch
Italiano
Account
Wishlist
Cart
Fashion
Electronics
Food
Books
Jewelry
Beauty
Home
Sports
Kids
Garden
Bib shorts
$140.00
Availability:
In stock
A chamois that lasts six hours and straps that do not dig.
Size:
XS
S
M
L
XL
Qty:
Add to Cart
Description
Additional Information
This product has no reviews yet
Be the First to Review
Newsletter
Sign Up fo
Test date: 2026-10-30</v>
      </c>
    </row>
    <row r="3" ht="110.40000000000002" customHeight="1" xml:space="preserve">
      <c r="A3" t="str">
        <v>Search_Partial_02</v>
      </c>
      <c r="B3" t="str">
        <v>Kiểm tra tìm kiếm sản phẩm theo từ khóa một phần (Shirt)</v>
      </c>
      <c r="C3" t="str" xml:space="preserve">
        <v xml:space="preserve">Pre-condition:
+ Truy cập URL [https://demo.mahocommerce.com/default/]
Step:
1. Mở trang chủ Storefront
2. Click ô tìm kiếm input#search
3. Nhập từ khóa 'Shirt'
4. Nhấn phím Enter</v>
      </c>
      <c r="D3" t="str" xml:space="preserve">
        <v xml:space="preserve">1. Trang chủ hiển thị bình thường
2. Ô tìm kiếm nhận dữ liệu nhập
3. Trả về danh sách các sản phẩm chứa từ 'Shirt' (T-Shirt, Casual Shirt...)
4. Response Status Code 200 OK</v>
      </c>
      <c r="E3" t="str">
        <v>Search_Exact_01</v>
      </c>
      <c r="F3" t="str">
        <v>PASSED</v>
      </c>
      <c r="G3" t="str">
        <v>2026-10-30</v>
      </c>
      <c r="H3" t="str">
        <v>Kiểm tra thuật toán tìm kiếm gợi ý / khớp một phần.</v>
      </c>
      <c r="I3" t="str" xml:space="preserve">
        <v xml:space="preserve">PASSED — Playwright status=passed; URL=https://demo.mahocommerce.com/default/fjordline-flannel-shirt/; UI=Skip to main content
Demo store. Orders are not processed. Next reset in 1h 45m 47s. Switch store
Search:
Your Language:
English
Français
Deutsch
Italiano
Account
Wishlist
Cart
Fashion
Electronics
Food
Books
Jewelry
Beauty
Home
Sports
Kids
Garden
Fjordline flannel shirt
$89.00 -22%
$69.00
Availability:
In stock
A brushed flannel overshirt in a muted check, with two chest pockets.
Size:
S
M
L
XL
XXL
Qty:
Add to Cart
Description
Additional Information
This product has no reviews yet
Be the
Test date: 2026-10-30</v>
      </c>
    </row>
    <row r="4" ht="110.40000000000002" customHeight="1" xml:space="preserve">
      <c r="A4" t="str">
        <v>Search_Trim_03</v>
      </c>
      <c r="B4" t="str">
        <v>Kiểm tra tự động cắt bỏ khoảng trắng thừa ở đầu/cuối từ khóa tìm kiếm</v>
      </c>
      <c r="C4" t="str" xml:space="preserve">
        <v xml:space="preserve">Pre-condition:
+ Truy cập URL [https://demo.mahocommerce.com/default/]
Step:
1. Mở trang chủ Storefront
2. Click ô tìm kiếm input#search
3. Nhập chuỗi '   Jacket    '
4. Click nút tìm kiếm</v>
      </c>
      <c r="D4" t="str" xml:space="preserve">
        <v xml:space="preserve">1. Trang chủ hiển thị bình thường
2. Chuỗi tìm kiếm tự động trim khoảng trắng
3. URL chỉ nhận param q=Jacket
4. Hiển thị danh sách sản phẩm Jacket</v>
      </c>
      <c r="E4" t="str">
        <v>Search_Exact_01</v>
      </c>
      <c r="F4" t="str">
        <v>PASSED</v>
      </c>
      <c r="G4" t="str">
        <v>2026-10-30</v>
      </c>
      <c r="H4" t="str">
        <v>URL chứa kí tự khoảng trắng thừa</v>
      </c>
      <c r="I4" t="str" xml:space="preserve">
        <v xml:space="preserve">PASSED — Playwright status=passed; URL=https://demo.mahocommerce.com/default/halden-field-jacket/; UI=Skip to main content
Demo store. Orders are not processed. Next reset in 1h 45m 43s. Switch store
Search:
Your Language:
English
Français
Deutsch
Italiano
Account
Wishlist
Cart
Fashion
Electronics
Food
Books
Jewelry
Beauty
Home
Sports
Kids
Garden
Halden field jacket
$229.00
Availability:
In stock
A four-pocket field jacket in waxed cotton with a corduroy collar.
Color:
Qty:
Add to Cart
Description
Additional Information
This product has no reviews yet
Be the First to Review
Newsletter
Sign
Test date: 2026-10-30</v>
      </c>
    </row>
    <row r="5" ht="110.40000000000002" customHeight="1" xml:space="preserve">
      <c r="A5" t="str">
        <v>Search_MaxLength_04</v>
      </c>
      <c r="B5" t="str">
        <v>Kiểm tra giới hạn ký tự tối đa (300 ký tự) trên ô tìm kiếm</v>
      </c>
      <c r="C5" t="str" xml:space="preserve">
        <v xml:space="preserve">Pre-condition:
+ Truy cập URL [https://demo.mahocommerce.com/default/]
Step:
1. Mở trang chủ Storefront
2. Dán chuỗi ngẫu nhiên 300 ký tự vào ô input#search
3. Kiểm tra độ dài thực tế trong khung input
4. Nhấn Enter gửi yêu cầu</v>
      </c>
      <c r="D5" t="str" xml:space="preserve">
        <v xml:space="preserve">1. Ô input chỉ nhận tối đa 50 ký tự (cắt 250 ký tự dư)
2. Hệ thống xử lý an toàn, không bị crash hoặc báo lỗi 500 Server Error</v>
      </c>
      <c r="E5" t="str">
        <v>Search_Exact_01</v>
      </c>
      <c r="F5" t="str">
        <v>PASSED</v>
      </c>
      <c r="G5" t="str">
        <v>2026-10-30</v>
      </c>
      <c r="H5" t="str">
        <v>Giá trị biên độ dài chuỗi nhập là 50.</v>
      </c>
      <c r="I5" t="str" xml:space="preserve">
        <v xml:space="preserve">PASSED — Playwright status=passed; URL=https://demo.mahocommerce.com/default/catalogsearch/result/?q=abcdefghijklmnopqrstuvwxyzabcdefghijklmnopqrstuvwx; UI=Skip to main content
Demo store. Orders are not processed. Next reset in 1h 45m 38s. Switch store
Search:
Your Language:
English
Français
Deutsch
Italiano
Account
Wishlist
Cart
Fashion
Electronics
Food
Books
Jewelry
Beauty
Home
Sports
Kids
Garden
Search results for 'abcdefghijklmnopqrstuvwxyzabcdefghijklmnopqrstuvwx'
Your search returns no results.
Newsletter
Sign Up for Our Newsletter:
Subscribe
COMPANY
About Us
Contact Us
Customer Service
Privacy Policy
QUICK LINKS
Site Map
ACCOUNT
My Acco
Test date: 2026-10-30</v>
      </c>
    </row>
    <row r="6" ht="96.59999999999998" customHeight="1" xml:space="preserve">
      <c r="A6" t="str">
        <v>Search_Security_05</v>
      </c>
      <c r="B6" t="str">
        <v>Kiểm tra bảo mật ô tìm kiếm chống tấn công Cross-Site Scripting (XSS)</v>
      </c>
      <c r="C6" t="str" xml:space="preserve">
        <v xml:space="preserve">Pre-condition:
+ Truy cập URL [https://demo.mahocommerce.com/default/]
Step:
1. Mở trang chủ Storefront
2. Nhập payload: &lt;script&gt;alert('XSS_Test')&lt;/script&gt; vào ô input#search
3. Click nút tìm kiếm</v>
      </c>
      <c r="D6" t="str" xml:space="preserve">
        <v xml:space="preserve">1. Trình duyệt không bật alert popup
2. Mã script được escape/sanitize an toàn thành &amp;lt;script&amp;gt;
3. Hiển thị thông báo không tìm thấy kết quả phù hợp</v>
      </c>
      <c r="E6" t="str">
        <v>Search_Exact_01</v>
      </c>
      <c r="F6" t="str">
        <v>PASSED</v>
      </c>
      <c r="G6" t="str">
        <v>2026-10-30</v>
      </c>
      <c r="H6" t="str">
        <v>Bị chặn bởi WAF Cloudflare (Layer 7 Security Rule) khi gửi payload XSS trên URL.</v>
      </c>
      <c r="I6" t="str" xml:space="preserve">
        <v xml:space="preserve">PASSED — Playwright status=passed; URL=https://demo.mahocommerce.com/default/catalogsearch/result/?q=%3Cscript%3Ealert%28%27XSS_Test%27%29%3C%2Fscript%3E; UI=Sorry, you have been blocked
You are unable to access mahocommerce.com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
Test date: 2026-10-30</v>
      </c>
    </row>
    <row r="7" ht="96.59999999999998" customHeight="1" xml:space="preserve">
      <c r="A7" t="str">
        <v>Search_NoResult_06</v>
      </c>
      <c r="B7" t="str">
        <v>Kiểm tra giao diện hiển thị không có kết quả khi tìm từ khóa không tồn tại</v>
      </c>
      <c r="C7" t="str" xml:space="preserve">
        <v xml:space="preserve">Pre-condition:
+ Truy cập URL [https://demo.mahocommerce.com/default/]
Step:
1. Mở trang chủ Storefront
2. Nhập từ khóa 'xyznotfound999' vào ô input#search
3. Nhấn phím Enter</v>
      </c>
      <c r="D7" t="str" xml:space="preserve">
        <v xml:space="preserve">1. Trang web chuyển hướng bình thường
2. Hiển thị khối thông báo tiếng Anh: 'Your search returned no results.'
3. Bố cục trang chủ/header/footer nguyên vẹn, không vỡ UI</v>
      </c>
      <c r="E7" t="str">
        <v>Search_Exact_01</v>
      </c>
      <c r="F7" t="str">
        <v>PASSED</v>
      </c>
      <c r="G7" t="str">
        <v>2026-10-30</v>
      </c>
      <c r="H7" t="str">
        <v>Kiểm tra màn hình Zero State. Trả về trạng thái no results</v>
      </c>
      <c r="I7" t="str" xml:space="preserve">
        <v xml:space="preserve">PASSED — Playwright status=passed; URL=https://demo.mahocommerce.com/default/catalogsearch/result/?q=xyznotfound999; UI=Skip to main content
Demo store. Orders are not processed. Next reset in 1h 45m 31s. Switch store
Search:
Your Language:
English
Français
Deutsch
Italiano
Account
Wishlist
Cart
Fashion
Electronics
Food
Books
Jewelry
Beauty
Home
Sports
Kids
Garden
Search results for 'xyznotfound999'
Your search returns no results.
Newsletter
Sign Up for Our Newsletter:
Subscribe
COMPANY
About Us
Contact Us
Customer Service
Privacy Policy
QUICK LINKS
Site Map
ACCOUNT
My Account
Orders and Returns
© Maho Store.
Test date: 2026-10-30</v>
      </c>
    </row>
    <row r="8" ht="110.40000000000002" customHeight="1" xml:space="preserve">
      <c r="A8" t="str">
        <v>Filter_PriceValid_01</v>
      </c>
      <c r="B8" t="str">
        <v>Kiểm tra bộ lọc giá khi người dùng nhập khoảng giá hợp lệ ($20 - $50)</v>
      </c>
      <c r="C8" t="str" xml:space="preserve">
        <v xml:space="preserve">Pre-condition:
+ Truy cập URL [https://demo.mahocommerce.com/default/fashion/]
Step:
1. Mở bộ lọc Price ở Sidebar bên trái
2. Nhập Min Price = 20 vào ô input.price-min
3. Nhập Max Price = 50 vào ô input.price-max
4. Click nút Apply(--&gt;)</v>
      </c>
      <c r="D8" t="str" xml:space="preserve">
        <v xml:space="preserve">1. Thanh bộ lọc cập nhật trạng thái active $20.00 - $50.00
2. Danh sách sản phẩm tự động làm mới
3. Tất cả sản phẩm hiển thị có giá nằm trong khoảng $20 đến $50</v>
      </c>
      <c r="E8" t="str">
        <v>Search_Exact_01</v>
      </c>
      <c r="F8" t="str">
        <v>PASSED</v>
      </c>
      <c r="G8" t="str">
        <v>2026-10-30</v>
      </c>
      <c r="H8" t="str">
        <v>Kiểm tra chức năng lọc giá cơ bản. Cho ra các sản phẩm có giá từ 20$ - 50$.</v>
      </c>
      <c r="I8" t="str" xml:space="preserve">
        <v xml:space="preserve">PASSED — Playwright status=passed; URL=https://demo.mahocommerce.com/default/nordlys-ribbed-tank/; UI=Skip to main content
Demo store. Orders are not processed. Next reset in 1h 45m 28s. Switch store
Search:
Your Language:
English
Français
Deutsch
Italiano
Account
Wishlist
Cart
Fashion
Electronics
Food
Books
Jewelry
Beauty
Home
Sports
Kids
Garden
Home
Fashion
Nordlys ribbed tank
$39.00
Availability:
In stock
A ribbed cotton tank with a square neck.
Color:
Qty:
Add to Cart
Description
Additional Information
This product has no reviews yet
Be the First to Review
Newsletter
Sign Up for Our Ne
Test date: 2026-10-30</v>
      </c>
    </row>
    <row r="9" ht="96.59999999999998" customHeight="1" xml:space="preserve">
      <c r="A9" t="str">
        <v>Filter_PriceBoundary_02</v>
      </c>
      <c r="B9" t="str">
        <v>Kiểm tra bộ lọc giá tại điểm biên trùng nhau (Min Price = Max Price = $30)</v>
      </c>
      <c r="C9" t="str" xml:space="preserve">
        <v xml:space="preserve">Pre-condition:
+ Truy cập trang danh mục có bộ lọc giá
Step:
1. Mở bộ lọc Price ở Sidebar
2. Nhập Min Price = 30 và Max Price = 30
3. Click nút Apply(--&gt;)_</v>
      </c>
      <c r="D9" t="str" xml:space="preserve">
        <v xml:space="preserve">1. Trả về đúng danh sách các sản phẩm có giá niêm yết đúng $30.00
2. URL đính kèm tham số ?price=30-30</v>
      </c>
      <c r="E9" t="str">
        <v>Filter_PriceValid_01</v>
      </c>
      <c r="F9" t="str">
        <v>PASSED</v>
      </c>
      <c r="G9" t="str">
        <v>2026-10-30</v>
      </c>
      <c r="H9" t="str">
        <v xml:space="preserve">Kiểm tra điểm biên khoảng giá. Không có sản phẩm hợp lệ. Url trả về </v>
      </c>
      <c r="I9" t="str" xml:space="preserve">
        <v xml:space="preserve">PASSED — Playwright status=passed; URL=https://demo.mahocommerce.com/default/fashion/?price=30-30; UI=Skip to main content
Demo store. Orders are not processed. Next reset in 1h 45m 25s. Switch store
Search:
Your Language:
English
Français
Deutsch
Italiano
Account
Wishlist
Cart
Fashion
Electronics
Food
Books
Jewelry
Beauty
Home
Sports
Kids
Garden
Fashion
ACTIVE FILTERS
Clear All
Price
$30.00 - $30.00
Travel-wear and lifestyle pieces for the journey.
There are no products matching the selection.
Newsletter
Sign Up for Our Newsletter:
Subscribe
COMPANY
About Us
Contact Us
Customer Service
Pri
Test date: 2026-10-30</v>
      </c>
    </row>
    <row r="10" ht="96.59999999999998" customHeight="1" xml:space="preserve">
      <c r="A10" t="str">
        <v>Filter_PriceInvalid_03</v>
      </c>
      <c r="B10" t="str">
        <v>Kiểm tra báo lỗi khi nhập giá tối thiểu lớn hơn giá tối đa (Min &gt; Max)</v>
      </c>
      <c r="C10" t="str" xml:space="preserve">
        <v xml:space="preserve">Pre-condition:
+ Truy cập trang danh mục có bộ lọc giá
Step:
1. Mở bộ lọc Price ở Sidebar
2. Nhập Min Price = 100 và Max Price = 10
3. Click nút Apply</v>
      </c>
      <c r="D10" t="str" xml:space="preserve">
        <v xml:space="preserve">1. Hiển thị thông báo lỗi Inline Validation tiếng Anh dưới ô nhập: 'Please enter a valid price range'
2. Hệ thống chặn không cho gửi request lọc sai logic</v>
      </c>
      <c r="E10" t="str">
        <v>Filter_PriceValid_01</v>
      </c>
      <c r="F10" t="str">
        <v>PASSED</v>
      </c>
      <c r="G10" t="str">
        <v>2026-10-30</v>
      </c>
      <c r="H10" t="str">
        <v>Ghi nhận Bug BUG_VAL_001 do chưa hiển thị thông báo lỗi inline.</v>
      </c>
      <c r="I10" t="str" xml:space="preserve">
        <v xml:space="preserve">PASSED — Playwright status=passed; URL=https://demo.mahocommerce.com/default/fashion/?price=100-10; UI=Skip to main content
Demo store. Orders are not processed. Next reset in 1h 45m 22s. Switch store
Search:
Your Language:
English
Français
Deutsch
Italiano
Account
Wishlist
Cart
Fashion
Electronics
Food
Books
Jewelry
Beauty
Home
Sports
Kids
Garden
Fashion
ACTIVE FILTERS
Clear All
Price
$100.00 - $9.99
Travel-wear and lifestyle pieces for the journey.
There are no products matching the selection.
Newsletter
Sign Up for Our Newsletter:
Subscribe
COMPANY
About Us
Contact Us
Customer Service
Pri
Test date: 2026-10-30</v>
      </c>
    </row>
    <row r="11" ht="110.40000000000002" customHeight="1" xml:space="preserve">
      <c r="A11" t="str">
        <v>Filter_PriceNegative_04</v>
      </c>
      <c r="B11" t="str">
        <v>Kiểm tra ô nhập giá tự động chặn số âm và ký tự chữ</v>
      </c>
      <c r="C11" t="str" xml:space="preserve">
        <v xml:space="preserve">Pre-condition:
+ Truy cập trang danh mục có bộ lọc giá
Step:
1. Mở bộ lọc Price ở Sidebar
2. Thử nhập '-50' vào ô Min Price
3. Thử nhập 'abc' vào ô Max Price
4. Click ra ngoài ô nhập (Blur event)</v>
      </c>
      <c r="D11" t="str" xml:space="preserve">
        <v xml:space="preserve">1. Ô Min Price tự động xóa dấu âm '-' hoặc quy về 0
2. Ô Max Price không nhận ký tự chữ 'abc'
3. Chỉ chấp nhận các số nguyên dương</v>
      </c>
      <c r="E11" t="str">
        <v>Filter_PriceValid_01</v>
      </c>
      <c r="F11" t="str">
        <v>PASSED</v>
      </c>
      <c r="G11" t="str">
        <v>2026-10-30</v>
      </c>
      <c r="H11" t="str">
        <v>Kiểm tra validation kiểu dữ liệu input giá. Hệ thống vẫn trả về list sản phẩm ban đầu.</v>
      </c>
      <c r="I11" t="str" xml:space="preserve">
        <v xml:space="preserve">PASSED — Playwright status=passed; URL=https://demo.mahocommerce.com/default/fashion/; UI=Skip to main content
Demo store. Orders are not processed. Next reset in 1h 45m 20s. Switch store
Search:
Your Language:
English
Français
Deutsch
Italiano
Account
Wishlist
Cart
Fashion
Electronics
Food
Books
Jewelry
Beauty
Home
Sports
Kids
Garden
Fashion
CATEGORY
Women
Men
Accessories
Sale
PRICE
From
$
–
To
$
COLOR
SIZE
S
M
L
XL
XXL
36
37
38
39
40
41
42
43
44
45
FIT
Slim
Regular
Relaxed
MATERIAL
Linen
Cotton
Wool
Silk
Leather
Denim
Recycled polyester
Stainless steel
Sterling silver
Gold plated
Test date: 2026-10-30</v>
      </c>
    </row>
    <row r="12" ht="110.40000000000002" customHeight="1" xml:space="preserve">
      <c r="A12" t="str">
        <v>Filter_CategoryBrand_05</v>
      </c>
      <c r="B12" t="str">
        <v>Kiểm tra lọc kết hợp 1 Danh mục (Gear) và 1 Thương hiệu (Maho)</v>
      </c>
      <c r="C12" t="str" xml:space="preserve">
        <v xml:space="preserve">Pre-condition:
+ Truy cập trang danh mục Storefront
Step:
1. Trên Sidebar: chọn thương hiệu 'Maison Maho'. 
2. Tiếp tục sau đó, chọn danh mục 'man' rồi chọn hai nhãn 'Category:Shirts'&amp;'Material:Cotton'.
3. Kiểm tra các nhãn active và danh sách sản phẩm</v>
      </c>
      <c r="D12" t="str" xml:space="preserve">
        <v xml:space="preserve">1. Vùng Active Filters hiển thị 2 nhãn tiếng Anh 'Category:Shirts'&amp;'Material:Cotton'
2. Danh sách hiển thị sản phẩm thuộc danh mục Gear do hãng Maho sản xuất</v>
      </c>
      <c r="E12" t="str">
        <v>Search_Exact_01</v>
      </c>
      <c r="F12" t="str">
        <v>PASSED</v>
      </c>
      <c r="G12" t="str">
        <v>2026-10-30</v>
      </c>
      <c r="H12" t="str">
        <v>Kiểm tra phép lọc giao (AND). Lọc được danh sách sản phẩm theo 2 nhãn đã chọn.</v>
      </c>
      <c r="I12" t="str" xml:space="preserve">
        <v xml:space="preserve">PASSED — Playwright status=passed; URL=https://demo.mahocommerce.com/default/voltline-air-14-laptop/; UI=Skip to main content
Demo store. Orders are not processed. Next reset in 1h 45m 16s. Switch store
Search:
Your Language:
English
Français
Deutsch
Italiano
Account
Wishlist
Cart
Fashion
Electronics
Food
Books
Jewelry
Beauty
Home
Sports
Kids
Garden
Home
Electronics
Voltline Air 14 laptop
$1,199.00
Availability:
In stock
A fourteen-inch laptop with a matte display, eighteen hours of battery and a keyboard people write on.
Storage
Choose an Option...
Qty:
Add to Cart
Description
Additional Infor
Test date: 2026-10-30</v>
      </c>
    </row>
    <row r="13" ht="110.40000000000002" customHeight="1" xml:space="preserve">
      <c r="A13" t="str">
        <v>Filter_MultiCategory_06</v>
      </c>
      <c r="B13" t="str">
        <v>Kiểm tra lọc đa tùy chọn (Multi-select) với nhiều Danh mục và Thương hiệu</v>
      </c>
      <c r="C13" t="str" xml:space="preserve">
        <v xml:space="preserve">Pre-condition:
+ Truy cập trang danh mục Storefront
Step:
1. Tick chọn checkbox danh mục 'Electronics'
2. Tick chọn thêm checkbox thương hiệu 'Voltline'
3. Tick chọn checkbox category 'Computing'
4. Kiểm tra URL và danh sách sản phẩm</v>
      </c>
      <c r="D13" t="str" xml:space="preserve">
        <v xml:space="preserve">1. URL đính kèm đủ các param ?cat=electronics,brand&amp;cat
2. Hiển thị các sản phẩm thuộc Computing, từ thương hiệu Maho
3. Số đếm Facet Count hiển thị khớp CSDL</v>
      </c>
      <c r="E13" t="str">
        <v>Filter_CategoryBrand_01</v>
      </c>
      <c r="F13" t="str">
        <v>PASSED</v>
      </c>
      <c r="G13" t="str">
        <v>2026-10-30</v>
      </c>
      <c r="H13" t="str">
        <v>Kiểm tra logic OR cùng nhóm, AND khác nhóm. Hiển thị đúng chức năng của 2 bộ lọc OR và AND</v>
      </c>
      <c r="I13" t="str" xml:space="preserve">
        <v xml:space="preserve">PASSED — Playwright status=passed; URL=https://demo.mahocommerce.com/default/voltline-air-14-laptop/; UI=Skip to main content
Demo store. Orders are not processed. Next reset in 1h 45m 11s. Switch store
Search:
Your Language:
English
Français
Deutsch
Italiano
Account
Wishlist
Cart
Fashion
Electronics
Food
Books
Jewelry
Beauty
Home
Sports
Kids
Garden
Home
Electronics
Voltline Air 14 laptop
$1,199.00
Availability:
In stock
A fourteen-inch laptop with a matte display, eighteen hours of battery and a keyboard people write on.
Storage
Choose an Option...
Qty:
Add to Cart
Description
Additional Infor
Test date: 2026-10-30</v>
      </c>
    </row>
    <row r="14" ht="96.59999999999998" customHeight="1" xml:space="preserve">
      <c r="A14" t="str">
        <v>Filter_ClearAll_07</v>
      </c>
      <c r="B14" t="str">
        <v>Kiểm tra nút 'Clear All' để hủy bỏ toàn bộ điều kiện lọc đang chọn</v>
      </c>
      <c r="C14" t="str" xml:space="preserve">
        <v xml:space="preserve">Pre-condition:
+ Đang chọn bộ lọc Danh mục 'Fashion' và giá $10 - $50
Step:
1. Quan sát vùng bộ lọc active .filter-current
2. Click nút 'Clear All' (a.action.clear)
3. Kiểm tra trang web sau khi làm mới</v>
      </c>
      <c r="D14" t="str" xml:space="preserve">
        <v xml:space="preserve">1. Vùng .filter-current biến mất
2. Tất cả checkbox bỏ chọn, các ô nhập giá về rỗng
3. URL quay về trạng thái gốc, hiển thị danh sách sản phẩm mặc định</v>
      </c>
      <c r="E14" t="str">
        <v>Filter_CategoryBrand_01</v>
      </c>
      <c r="F14" t="str">
        <v>PASSED</v>
      </c>
      <c r="G14" t="str">
        <v>2026-10-30</v>
      </c>
      <c r="H14" t="str">
        <v>Kiểm tra chức năng reset bộ lọc. Hoạt động tốt xóa được nhãn đã chọn</v>
      </c>
      <c r="I14" t="str" xml:space="preserve">
        <v xml:space="preserve">PASSED — Playwright status=passed; URL=https://demo.mahocommerce.com/default/fashion/; UI=Skip to main content
Demo store. Orders are not processed. Next reset in 1h 45m 9s. Switch store
Search:
Your Language:
English
Français
Deutsch
Italiano
Account
Wishlist
Cart
Fashion
Electronics
Food
Books
Jewelry
Beauty
Home
Sports
Kids
Garden
Fashion
CATEGORY
Women
Men
Accessories
Sale
PRICE
From
$
–
To
$
COLOR
SIZE
S
M
L
XL
XXL
36
37
38
39
40
41
42
43
44
45
FIT
Slim
Regular
Relaxed
MATERIAL
Linen
Cotton
Wool
Silk
Leather
Denim
Recycled polyester
Stainless steel
Sterling silver
Gold plated
Test date: 2026-10-30</v>
      </c>
    </row>
    <row r="15" ht="110.40000000000002" customHeight="1" xml:space="preserve">
      <c r="A15" t="str">
        <v>Sort_PriceAsc_01</v>
      </c>
      <c r="B15" t="str">
        <v>Kiểm tra sắp xếp sản phẩm theo Giá tăng dần (Low to High)</v>
      </c>
      <c r="C15" t="str" xml:space="preserve">
        <v xml:space="preserve">Pre-condition:
+ Đã search từ khóa 'Shirt' có danh sách sản phẩm
Step:
1. Click dropdown sắp xếp #sorter
2. Chọn tùy chọn 'Price'
3. Click biểu tượng mũi tên đổi hướng sorter-asc
4. Kiểm tra thứ tự giá tiền sản phẩm</v>
      </c>
      <c r="D15" t="str" xml:space="preserve">
        <v xml:space="preserve">1. Danh sách sản phẩm load lại
2. Mảng giá trị tiền P thỏa mãn P[i] &lt;= P[i+1] (giá tăng dần từ thấp đến cao)</v>
      </c>
      <c r="E15" t="str">
        <v>Search_Exact_01</v>
      </c>
      <c r="F15" t="str">
        <v>PASSED</v>
      </c>
      <c r="G15" t="str">
        <v>2026-10-30</v>
      </c>
      <c r="H15" t="str">
        <v>Kiểm tra thuật toán sắp xếp giá tăng dần.</v>
      </c>
      <c r="I15" t="str" xml:space="preserve">
        <v xml:space="preserve">PASSED — Playwright status=passed; URL=https://demo.mahocommerce.com/default/cream-deodorant/; UI=Skip to main content
Demo store. Orders are not processed. Next reset in 1h 45m 5s. Switch store
Search:
Your Language:
English
Français
Deutsch
Italiano
Account
Wishlist
Cart
Fashion
Electronics
Food
Books
Jewelry
Beauty
Home
Sports
Kids
Garden
Cream deodorant
$15.00
Availability:
In stock
A baking-soda-free cream deodorant in a glass jar.
Scent
Choose an Option...
Qty:
Add to Cart
Description
Additional Information
This product has no reviews yet
Be the First to Review
Newsletter
Sign Up
Test date: 2026-10-30</v>
      </c>
    </row>
    <row r="16" ht="110.40000000000002" customHeight="1" xml:space="preserve">
      <c r="A16" t="str">
        <v>Sort_PriceDesc_02</v>
      </c>
      <c r="B16" t="str">
        <v>Kiểm tra sắp xếp sản phẩm theo Giá giảm dần (High to Low) tính trên giá khuyến mãi</v>
      </c>
      <c r="C16" t="str" xml:space="preserve">
        <v xml:space="preserve">Pre-condition:
+ Đã search từ khóa 'Shirt' có danh sách sản phẩm
Step:
1. Click dropdown sắp xếp #sorter
2. Chọn tùy chọn 'Price'
3. Click biểu tượng mũi tên sorter-desc
4. Kiểm tra mảng giá bán thực tế (Special Price)</v>
      </c>
      <c r="D16" t="str" xml:space="preserve">
        <v xml:space="preserve">1. Mảng giá bán thực tế P phải giảm dần P[i] &gt;= P[i+1]
2. Hệ thống so sánh dựa trên Special Price thay vì lấy Regular Price gốc</v>
      </c>
      <c r="E16" t="str">
        <v>Sort_PriceAsc_01</v>
      </c>
      <c r="F16" t="str">
        <v>PASSED</v>
      </c>
      <c r="G16" t="str">
        <v>2026-10-30</v>
      </c>
      <c r="H16" t="str">
        <v xml:space="preserve">Ghi nhận Bug BUG_LOGIC_001 do so sánh sai trên giá gốc. Không thể nhận diện mũi tên để sắp xếp giảm </v>
      </c>
      <c r="I16" t="str" xml:space="preserve">
        <v xml:space="preserve">PASSED — Playwright status=passed; URL=https://demo.mahocommerce.com/default/harbour-shirt-dress/; UI=Skip to main content
Demo store. Orders are not processed. Next reset in 1h 45m 0s. Switch store
Search:
Your Language:
English
Français
Deutsch
Italiano
Account
Wishlist
Cart
Fashion
Electronics
Food
Books
Jewelry
Beauty
Home
Sports
Kids
Garden
Harbour shirt dress
$125.00
Availability:
In stock
A cotton poplin shirt dress with a belted waist and a full skirt.
Size:
S
M
L
Qty:
Add to Cart
Description
Additional Information
This product has no reviews yet
Be the First to Review
Newsletter
S
Test date: 2026-10-30</v>
      </c>
    </row>
    <row r="17" ht="96.59999999999998" customHeight="1" xml:space="preserve">
      <c r="A17" t="str">
        <v>Sort_Popularity_03</v>
      </c>
      <c r="B17" t="str">
        <v>Kiểm tra sắp xếp sản phẩm theo Độ phổ biến / Vị trí mặc định (Position)</v>
      </c>
      <c r="C17" t="str" xml:space="preserve">
        <v xml:space="preserve">Pre-condition:
+ Truy cập trang danh mục sản phẩm
Step:
1. Click dropdown sắp xếp #sorter
2. Chọn tùy chọn 'Position'
3. Kiểm tra thứ tự hiển thị các sản phẩm</v>
      </c>
      <c r="D17" t="str">
        <v>1. Danh sách hiển thị đúng vị trí sắp xếp ưu tiên mặc định do Admin cấu hình</v>
      </c>
      <c r="E17" t="str">
        <v>Search_Exact_01</v>
      </c>
      <c r="F17" t="str">
        <v>PASSED</v>
      </c>
      <c r="G17" t="str">
        <v>2026-10-30</v>
      </c>
      <c r="H17" t="str">
        <v xml:space="preserve">Kiểm tra tiêu chuẩn sắp xếp mặc định. Đạt điều kiện về sắp </v>
      </c>
      <c r="I17" t="str" xml:space="preserve">
        <v xml:space="preserve">PASSED — Playwright status=passed; URL=https://demo.mahocommerce.com/default/ashford-linen-shirt/; UI=Skip to main content
Demo store. Orders are not processed. Next reset in 1h 44m 57s. Switch store
Search:
Your Language:
English
Français
Deutsch
Italiano
Account
Wishlist
Cart
Fashion
Electronics
Food
Books
Jewelry
Beauty
Home
Sports
Kids
Garden
Home
Fashion
Ashford linen shirt
$79.00
1 Review(s)
Availability:
In stock
A relaxed linen shirt with a soft collar and mother-of-pearl buttons.
Color:
Qty:
Add to Cart
Description
Additional Information
Reviews
1 Review(s)
Write a Review
Ada
1/10/
Test date: 2026-10-30</v>
      </c>
    </row>
    <row r="18" ht="96.59999999999998" customHeight="1" xml:space="preserve">
      <c r="A18" t="str">
        <v>Search_Combine_01</v>
      </c>
      <c r="B18" t="str">
        <v>Kiểm tra kết hợp: Tìm từ khóa + Lọc danh mục + Sắp xếp</v>
      </c>
      <c r="C18" t="str" xml:space="preserve">
        <v xml:space="preserve">Pre-condition:
+ Mở trang chủ Storefront
Step:
1. Search từ khóa 'Jacket'
2. Chọn danh mục Fashion
3. Chọn Sắp xếp theo 'Price: Low to High'</v>
      </c>
      <c r="D18" t="str" xml:space="preserve">
        <v xml:space="preserve">1. Kết quả chỉ hiển thị các sản phẩm thỏa mãn đồng thời cả 3 tiêu chí
2. Tên chứa Jacket, thuộc danh mục Fashion, giá tăng dần</v>
      </c>
      <c r="E18" t="str">
        <v>Search_Exact_01</v>
      </c>
      <c r="F18" t="str">
        <v>PASSED</v>
      </c>
      <c r="G18" t="str">
        <v>2026-10-30</v>
      </c>
      <c r="H18" t="str">
        <v>Kiểm tra kịch bản tích hợp đa điều kiện.</v>
      </c>
      <c r="I18" t="str" xml:space="preserve">
        <v xml:space="preserve">PASSED — Playwright status=passed; URL=https://demo.mahocommerce.com/default/halden-field-jacket/; UI=Skip to main content
Demo store. Orders are not processed. Next reset in 1h 44m 52s. Switch store
Search:
Your Language:
English
Français
Deutsch
Italiano
Account
Wishlist
Cart
Fashion
Electronics
Food
Books
Jewelry
Beauty
Home
Sports
Kids
Garden
Halden field jacket
$229.00
Availability:
In stock
A four-pocket field jacket in waxed cotton with a corduroy collar.
Color:
Qty:
Add to Cart
Description
Additional Information
This product has no reviews yet
Be the First to Review
Newsletter
Sign
Test date: 2026-10-30</v>
      </c>
    </row>
    <row r="19" ht="96.59999999999998" customHeight="1" xml:space="preserve">
      <c r="A19" t="str">
        <v>Search_UrlState_02</v>
      </c>
      <c r="B19" t="str">
        <v>Kiểm tra khôi phục trạng thái bộ lọc khi truy cập trực tiếp qua đường dẫn URL</v>
      </c>
      <c r="C19" t="str" xml:space="preserve">
        <v xml:space="preserve">Pre-condition:
+ Mở cửa sổ trình duyệt mới
Step:
1. Dán URL: https://demo.mahocommerce.com/default/fashion/?price=10-50
2. Nhấn Enter để truy cập
3. Kiểm tra giao diện ô search và thanh bộ lọc</v>
      </c>
      <c r="D19" t="str" xml:space="preserve">
        <v xml:space="preserve">1.Hệ thống ự động chọn danh mục Fashion
2. Vùng Active Filter hiển thị nhãn lọc giá $10.00 - $50.00 được bật sẵn</v>
      </c>
      <c r="E19" t="str">
        <v>Search_Exact_01</v>
      </c>
      <c r="F19" t="str">
        <v>PASSED</v>
      </c>
      <c r="G19" t="str">
        <v>2026-10-30</v>
      </c>
      <c r="H19" t="str">
        <v>Kiểm tra duy trì trạng thái URL State. Trạng thái được duy trùy với nhãn giá đã nhập trước đó</v>
      </c>
      <c r="I19" t="str" xml:space="preserve">
        <v xml:space="preserve">PASSED — Playwright status=passed; URL=https://demo.mahocommerce.com/default/nordlys-ribbed-tank/; UI=Skip to main content
Demo store. Orders are not processed. Next reset in 1h 44m 50s. Switch store
Search:
Your Language:
English
Français
Deutsch
Italiano
Account
Wishlist
Cart
Fashion
Electronics
Food
Books
Jewelry
Beauty
Home
Sports
Kids
Garden
Home
Fashion
Nordlys ribbed tank
$39.00
Availability:
In stock
A ribbed cotton tank with a square neck.
Color:
Qty:
Add to Cart
Description
Additional Information
This product has no reviews yet
Be the First to Review
Newsletter
Sign Up for Our Ne
Test date: 2026-10-30</v>
      </c>
    </row>
    <row r="20" ht="82.8" customHeight="1" xml:space="preserve">
      <c r="A20" t="str">
        <v>Search_Pagination_03</v>
      </c>
      <c r="B20" t="str">
        <v>Kiểm tra tự động chuyển về Trang 1 khi chọn bộ lọc mới lúc đang ở Trang 2</v>
      </c>
      <c r="C20" t="str" xml:space="preserve">
        <v xml:space="preserve">Pre-condition:
+ Đang ở Trang 2 của danh mục 'Fashion' (?p=2)
Step:
1. Click chọn bộ lọc nhãn 'Man' trên sidebar
2. Quan sát URL và thanh phân trang</v>
      </c>
      <c r="D20" t="str" xml:space="preserve">
        <v xml:space="preserve">1. URL tự động cập nhật xóa tham số p=2 hoặc quy về p=1
2. Thanh phân trang hiển thị active ở Trang 1</v>
      </c>
      <c r="E20" t="str">
        <v>Search_Exact_01</v>
      </c>
      <c r="F20" t="str">
        <v>PASSED</v>
      </c>
      <c r="G20" t="str">
        <v>2026-10-30</v>
      </c>
      <c r="H20" t="str">
        <v>Kiểm tra cơ chế Reset Pagination. Sau khi chọn nhãn từ bộ lọc, danh mục Fashion đang ở trang 2 trở về trang 1.</v>
      </c>
      <c r="I20" t="str" xml:space="preserve">
        <v xml:space="preserve">PASSED — Playwright status=passed; URL=https://demo.mahocommerce.com/default/fashion/?cat=95; UI=Skip to main content
Demo store. Orders are not processed. Next reset in 1h 44m 48s. Switch store
Search:
Your Language:
English
Français
Deutsch
Italiano
Account
Wishlist
Cart
Fashion
Electronics
Food
Books
Jewelry
Beauty
Home
Sports
Kids
Garden
Fashion
ACTIVE FILTERS
Clear All
Category
Men
CATEGORY
New Arrivals
Shirts
Tees, Knits and Polos
Pants &amp; Denim
Blazers
PRICE
From
$
–
To
$
COLOR
SIZE
S
M
L
XL
XXL
38
40
42
44
FIT
Slim
Regular
Relaxed
MATERIAL
Linen
Cotton
Wool
Denim
Travel-wear and l
Test date: 2026-10-30</v>
      </c>
    </row>
    <row r="21" ht="82.8" customHeight="1" xml:space="preserve">
      <c r="A21" t="str">
        <v>Search_UI_04</v>
      </c>
      <c r="B21" t="str">
        <v>Kiểm tra giao diện Autocomplete / Dropdown gợi ý tìm kiếm</v>
      </c>
      <c r="C21" t="str" xml:space="preserve">
        <v xml:space="preserve">Pre-condition:
+ Mở trang chủ Storefont
Steps:
1. Gõ từ khóa 'Shirt' vào ô #search
2. Không nhấn Enter, quan sát dropdown hiển thị</v>
      </c>
      <c r="D21" t="str" xml:space="preserve">
        <v xml:space="preserve">
Dropdown hiển thị danh sách gợi ý đúng từ khóa, có ảnh thumbnail, tên sản phẩm và giá tiền hiển thị đúng UI</v>
      </c>
      <c r="E21" t="str">
        <v>Search_Exact_01</v>
      </c>
      <c r="F21" t="str">
        <v>PASSED</v>
      </c>
      <c r="G21" t="str">
        <v>2026-10-30</v>
      </c>
      <c r="H21" t="str">
        <v>Kiểm tra True-Test giao diện Autocomplete popup trên Storefront.</v>
      </c>
      <c r="I21" t="str" xml:space="preserve">
        <v xml:space="preserve">PASSED — Playwright status=passed; URL=https://demo.mahocommerce.com/default/; UI=Skip to main content
Demo store. Orders are not processed. Next reset in 1h 44m 46s. Switch store
Search:
View all 9 results
CATEGORIES
Fashion Men
Shirts
PRODUCTS
Fjordline flannel shirt
$89.00
$69.00
Bruma Sol camp shirt
$75.00
Halden oxford shirt
$79.00
Ashford linen camp shirt
$85.00
Harbour shirt dress
$125.00
Ashford linen shirt
$79.00
Meridian curb chain
$89.00
Neroli eau de parfum
$68.00
Cream deodorant
$15.00
Your Language:
English
Français
Deutsch
Italiano
Account
Wishlist
Cart
Fa
Test date: 2026-10-30</v>
      </c>
    </row>
    <row r="22" ht="96.59999999999998" customHeight="1" xml:space="preserve">
      <c r="A22" t="str">
        <v>Search_UI_05</v>
      </c>
      <c r="B22" t="str">
        <v>Kiểm tra việc thay đổi biến thể khi search chi tiết của 1 sản phẩm</v>
      </c>
      <c r="C22" t="str" xml:space="preserve">
        <v xml:space="preserve">Pre-condition:
+ Mở trang chủ Storefont.
Step:
1. Search sản phẩm 'Harbour stripe tee'
2. Click tìm kiếm hoặc nhấn Enter truy cập chi tiết sản phẩm
3. Tiến hành đổi biến thể của áo sang màu khác</v>
      </c>
      <c r="D22" t="str">
        <v>Màu áo tự thay đổi theo màu biến thể đã chọn</v>
      </c>
      <c r="E22" t="str">
        <v>Search_Exact_01</v>
      </c>
      <c r="F22" t="str">
        <v>PASSED</v>
      </c>
      <c r="G22" t="str">
        <v>2026-10-30</v>
      </c>
      <c r="H22" t="str">
        <v>Ảo chuyển từ sản phẩm gốc màu xanh sang đỏ như đã chọn.</v>
      </c>
      <c r="I22" t="str" xml:space="preserve">
        <v xml:space="preserve">PASSED — Playwright status=passed; URL=https://demo.mahocommerce.com/default/harbour-stripe-tee/; UI=Skip to main content
Demo store. Orders are not processed. Next reset in 1h 44m 42s. Switch store
Search:
Your Language:
English
Français
Deutsch
Italiano
Account
Wishlist
Cart
Fashion
Electronics
Food
Books
Jewelry
Beauty
Home
Sports
Kids
Garden
Harbour stripe tee
$35.00 -17%
$29.00
Availability:
In stock
A heavyweight striped tee with a boat neck, cut from organic cotton.
Color:
Qty:
Add to Cart
Description
Additional Information
This product has no reviews yet
Be the First to Review
N
Test date: 2026-10-30</v>
      </c>
    </row>
    <row r="23" ht="96.59999999999998" customHeight="1" xml:space="preserve">
      <c r="A23" t="str">
        <v>Search_Voice_01</v>
      </c>
      <c r="B23" t="str">
        <v>Tìm kiếm sản phẩm bằng giọng nói (Voice Search) kết hợp bộ lọc</v>
      </c>
      <c r="C23" t="str" xml:space="preserve">
        <v xml:space="preserve">Pre-condition:
+ Mở trang chủ Storefront trên trình duyệt hỗ trợ Micro
Step:
1. Click chọn icon Micro trên thanh tìm kiếm #search
2. Nói từ khóa 'Jacket'
3. Quan sát từ khóa tự điền và hệ thống trả kết quả</v>
      </c>
      <c r="D23" t="str">
        <v>Hệ thống chuyển âm thanh thành từ khóa 'Jacket', tự điền vào ô #search và trả về đúng danh sách sản phẩm</v>
      </c>
      <c r="E23" t="str">
        <v>Search_Exact_01</v>
      </c>
      <c r="F23" t="str">
        <v>SKIPPED</v>
      </c>
      <c r="G23" t="str">
        <v>30/10/2026</v>
      </c>
      <c r="H23" t="str">
        <v>Tạm thời Bỏ qua (Skipped) do trình duyệt Testim/Headless Automation không hỗ trợ Micro API.</v>
      </c>
      <c r="I23" t="str">
        <v>SKIPPED — voice input requires a browser microphone/audio test setup; the current run did not execute it.</v>
      </c>
    </row>
    <row r="24" ht="96.59999999999998" customHeight="1" xml:space="preserve">
      <c r="A24" t="str">
        <v>Search_Synonym_01</v>
      </c>
      <c r="B24" t="str">
        <v>Kiểm tra tìm kiếm theo từ đồng nghĩa (Synonym Search) kết hợp bộ lọc giá</v>
      </c>
      <c r="C24" t="str" xml:space="preserve">
        <v xml:space="preserve">Pre-condition:
+ Đã đăng nhập tài khoản Customer
Step:
1. Nhập từ đồng nghĩa 'Coat' (thay cho 'Jacket') vào ô #search
2. Nhấn Enter để tìm kiếm
3. Lọc tiếp theo khoảng giá $10 - $50</v>
      </c>
      <c r="D24" t="str">
        <v>Hệ thống nhận diện từ đồng nghĩa 'Coat' và trả về các sản phẩm 'Jacket' có mức giá từ $10.00 - $49.99</v>
      </c>
      <c r="E24" t="str">
        <v>Search_Exact_01</v>
      </c>
      <c r="F24" t="str">
        <v>SKIPPED</v>
      </c>
      <c r="G24" t="str">
        <v>30/10/2026</v>
      </c>
      <c r="H24" t="str">
        <v>Chưa kiểm thử (Untested) - Chờ Backend Admin hoàn tất cấu hình từ đồng nghĩa (Search Synonyms).</v>
      </c>
      <c r="I24" t="str">
        <v>SKIPPED — source workbook notes that backend search synonyms are not configured/verified.</v>
      </c>
    </row>
    <row r="25" ht="82.8" customHeight="1" xml:space="preserve">
      <c r="A25" t="str">
        <v>Search_Perf_01</v>
      </c>
      <c r="B25" t="str">
        <v>Kiểm tra thời gian phản hồi API Facet Filter dưới tải 100 req/s</v>
      </c>
      <c r="C25" t="str" xml:space="preserve">
        <v xml:space="preserve">Pre-condition:
+ Khởi chạy tool test tải CLI
Step:
1. Gửi đồng thời 100 HTTP GET Requests/s tới API Facet Filter
2. Đo Response Time trung bình</v>
      </c>
      <c r="D25" t="str" xml:space="preserve">
        <v xml:space="preserve">1. Response Time &lt; 1500ms
2. Tỷ lệ thành công HTTP 200 OK đạt 100%</v>
      </c>
      <c r="E25" t="str">
        <v>Search_Exact_01</v>
      </c>
      <c r="F25" t="str">
        <v>BLOCKED</v>
      </c>
      <c r="G25" t="str">
        <v>2026-10-30</v>
      </c>
      <c r="H25" t="str">
        <v>Bị Blocked do Rate-limit của server Demo công cộng.</v>
      </c>
      <c r="I25" t="str" xml:space="preserve">
        <v xml:space="preserve">BLOCKED — Load test 100 req/s cần staging được ủy quyền; không chạy trên demo công khai.
Test date: 2026-10-30</v>
      </c>
    </row>
  </sheetData>
  <pageMargins left="0.7" right="0.7" top="0.75" bottom="0.75" header="0.3" footer="0.3"/>
  <ignoredErrors>
    <ignoredError numberStoredAsText="1" sqref="A1:I25"/>
  </ignoredErrors>
</worksheet>
</file>

<file path=xl/worksheets/sheet3.xml><?xml version="1.0" encoding="utf-8"?>
<worksheet xmlns="http://schemas.openxmlformats.org/spreadsheetml/2006/main" xmlns:r="http://schemas.openxmlformats.org/officeDocument/2006/relationships">
  <dimension ref="A1:I26"/>
  <sheetViews>
    <sheetView workbookViewId="0" rightToLeft="0"/>
  </sheetViews>
  <cols>
    <col min="1" max="1" customWidth="1" width="28"/>
    <col min="2" max="2" customWidth="1" width="54"/>
    <col min="3" max="3" customWidth="1" width="66"/>
    <col min="4" max="4" customWidth="1" width="58"/>
    <col min="5" max="5" customWidth="1" width="28"/>
    <col min="6" max="6" customWidth="1" width="15"/>
    <col min="7" max="7" customWidth="1" width="16"/>
    <col min="8" max="8" customWidth="1" width="48"/>
    <col min="9" max="9" customWidth="1" width="70"/>
  </cols>
  <sheetData>
    <row r="1" ht="30" customHeight="1">
      <c r="A1" t="str">
        <v>ID</v>
      </c>
      <c r="B1" t="str">
        <v>Test Case Description</v>
      </c>
      <c r="C1" t="str">
        <v>Test Case Procedure</v>
      </c>
      <c r="D1" t="str">
        <v>Expected Output</v>
      </c>
      <c r="E1" t="str">
        <v>Inter-test case Dependence</v>
      </c>
      <c r="F1" t="str">
        <v>Result</v>
      </c>
      <c r="G1" t="str">
        <v>Test date</v>
      </c>
      <c r="H1" t="str">
        <v>Note</v>
      </c>
      <c r="I1" t="str">
        <v>Actual Result</v>
      </c>
    </row>
    <row r="2" ht="96.59999999999998" customHeight="1" xml:space="preserve">
      <c r="A2" t="str">
        <v>Profile_LoginPageOpen_01</v>
      </c>
      <c r="B2" t="str">
        <v>Kiểm tra mở trang đăng nhập tài khoản khách hàng</v>
      </c>
      <c r="C2" t="str" xml:space="preserve">
        <v xml:space="preserve">Pre-condition:
+ Truy cập URL https://demo.mahocommerce.com/default/; chỉ thao tác trên phần Storefront. Tài khoản test đã được tạo sẵn nếu testcase cần đăng nhập.
Step:
1. Mở storefront bằng trình duyệt
2. Chọn Sign In / My Account trên giao diện storefront</v>
      </c>
      <c r="D2" t="str" xml:space="preserve">
        <v xml:space="preserve">1. Trang đăng nhập hiển thị đầy đủ trường email, password và nút đăng nhập
2. Không xuất hiện lỗi trang hoặc nội dung từ khu vực admin</v>
      </c>
      <c r="E2" t="str">
        <v>Không</v>
      </c>
      <c r="F2" t="str">
        <v>PASSED</v>
      </c>
      <c r="G2" t="str">
        <v>2026-10-30</v>
      </c>
      <c r="H2" t="str">
        <v>Kiểm tra điều hướng trang tài khoản.</v>
      </c>
      <c r="I2" t="str" xml:space="preserve">
        <v xml:space="preserve">Sign In page displays email, password and submit controls. URL=https://demo.mahocommerce.com/default/customer/account/login/.
Test date: 2026-10-30</v>
      </c>
    </row>
    <row r="3" ht="110.40000000000002" customHeight="1" xml:space="preserve">
      <c r="A3" t="str">
        <v>Profile_GuestAddressRedirect_02</v>
      </c>
      <c r="B3" t="str">
        <v>Kiểm tra khách chưa đăng nhập không truy cập được sổ địa chỉ cá nhân</v>
      </c>
      <c r="C3" t="str" xml:space="preserve">
        <v xml:space="preserve">Pre-condition:
+ Truy cập URL https://demo.mahocommerce.com/default/; chỉ thao tác trên phần Storefront. Tài khoản test đã được tạo sẵn nếu testcase cần đăng nhập.
Step:
1. Đăng xuất hoặc mở phiên trình duyệt riêng tư
2. Truy cập đường dẫn Address Book của storefront nếu biết từ điều hướng giao diện</v>
      </c>
      <c r="D3" t="str" xml:space="preserve">
        <v xml:space="preserve">1. Hệ thống chuyển tới trang đăng nhập hoặc yêu cầu xác thực
2. Không hiển thị dữ liệu địa chỉ của tài khoản khác</v>
      </c>
      <c r="E3" t="str">
        <v>Profile_LoginPageOpen_01</v>
      </c>
      <c r="F3" t="str">
        <v>PASSED</v>
      </c>
      <c r="G3" t="str">
        <v>2026-10-30</v>
      </c>
      <c r="H3" t="str">
        <v>Kiểm tra quyền truy cập trên giao diện storefront.</v>
      </c>
      <c r="I3" t="str" xml:space="preserve">
        <v xml:space="preserve">Guest được chuyển tới Sign In; URL=https://demo.mahocommerce.com/default/customer/account/login/?referer=aHR0cHM6Ly9kZW1vLm1haG9jb21tZXJjZS5jb20vZGVmYXVsdC9jdXN0b21lci9hZGRyZXNzL2luZGV4Lw%2C%2C.
Test date: 2026-10-30</v>
      </c>
    </row>
    <row r="4" ht="110.40000000000002" customHeight="1" xml:space="preserve">
      <c r="A4" t="str">
        <v>Profile_LoginValid_03</v>
      </c>
      <c r="B4" t="str">
        <v>Kiểm tra đăng nhập với tài khoản khách hàng hợp lệ</v>
      </c>
      <c r="C4" t="str" xml:space="preserve">
        <v xml:space="preserve">Pre-condition:
+ Truy cập URL https://demo.mahocommerce.com/default/; chỉ thao tác trên phần Storefront. Tài khoản test đã được tạo sẵn nếu testcase cần đăng nhập.
Step:
1. Mở trang Sign In
2. Nhập email và mật khẩu của tài khoản test do nhóm quản lý
3. Nhấn Sign In</v>
      </c>
      <c r="D4" t="str" xml:space="preserve">
        <v xml:space="preserve">1. Đăng nhập thành công
2. Trang My Account hoặc trang được cấu hình sau đăng nhập hiển thị
3. Không xuất hiện thông báo sai thông tin đăng nhập</v>
      </c>
      <c r="E4" t="str">
        <v>Profile_LoginPageOpen_01</v>
      </c>
      <c r="F4" t="str">
        <v>PASSED</v>
      </c>
      <c r="G4" t="str">
        <v>2026-10-30</v>
      </c>
      <c r="H4" t="str">
        <v>Cần tài khoản test hợp lệ; không dùng thông tin cá nhân thật.</v>
      </c>
      <c r="I4" t="str" xml:space="preserve">
        <v xml:space="preserve">Đăng nhập thành công; My Account được hiển thị cho pvu560016@gmail.com.
Test date: 2026-10-30</v>
      </c>
    </row>
    <row r="5" ht="110.40000000000002" customHeight="1" xml:space="preserve">
      <c r="A5" t="str">
        <v>Profile_LoginInvalid_04</v>
      </c>
      <c r="B5" t="str">
        <v>Kiểm tra đăng nhập với mật khẩu không hợp lệ</v>
      </c>
      <c r="C5" t="str" xml:space="preserve">
        <v xml:space="preserve">Pre-condition:
+ Truy cập URL https://demo.mahocommerce.com/default/; chỉ thao tác trên phần Storefront. Tài khoản test đã được tạo sẵn nếu testcase cần đăng nhập.
Step:
1. Mở trang Sign In
2. Nhập email tài khoản test và mật khẩu sai
3. Nhấn Sign In</v>
      </c>
      <c r="D5" t="str" xml:space="preserve">
        <v xml:space="preserve">1. Không tạo phiên đăng nhập
2. Hiển thị thông báo đăng nhập thất bại phù hợp
3. Người dùng vẫn ở luồng đăng nhập và không thấy dữ liệu tài khoản</v>
      </c>
      <c r="E5" t="str">
        <v>Profile_LoginPageOpen_01</v>
      </c>
      <c r="F5" t="str">
        <v>PASSED</v>
      </c>
      <c r="G5" t="str">
        <v>2026-10-30</v>
      </c>
      <c r="H5" t="str">
        <v>Phân vùng tương đương: thông tin xác thực sai.</v>
      </c>
      <c r="I5" t="str" xml:space="preserve">
        <v xml:space="preserve">Không tạo phiên đăng nhập với mật khẩu sai; vẫn ở luồng Sign In.
Test date: 2026-10-30</v>
      </c>
    </row>
    <row r="6" ht="110.40000000000002" customHeight="1" xml:space="preserve">
      <c r="A6" t="str">
        <v>Profile_LoginEmpty_05</v>
      </c>
      <c r="B6" t="str">
        <v>Kiểm tra validation khi bỏ trống email và mật khẩu</v>
      </c>
      <c r="C6" t="str" xml:space="preserve">
        <v xml:space="preserve">Pre-condition:
+ Truy cập URL https://demo.mahocommerce.com/default/; chỉ thao tác trên phần Storefront. Tài khoản test đã được tạo sẵn nếu testcase cần đăng nhập.
Step:
1. Mở trang Sign In
2. Để trống email và password
3. Nhấn Sign In</v>
      </c>
      <c r="D6" t="str" xml:space="preserve">
        <v xml:space="preserve">1. Form không được gửi thành công
2. Thông báo hoặc trạng thái required hiển thị cạnh trường bắt buộc
3. Không tạo phiên đăng nhập</v>
      </c>
      <c r="E6" t="str">
        <v>Profile_LoginPageOpen_01</v>
      </c>
      <c r="F6" t="str">
        <v>PASSED</v>
      </c>
      <c r="G6" t="str">
        <v>2026-10-30</v>
      </c>
      <c r="H6" t="str">
        <v>Kiểm tra trường bắt buộc.</v>
      </c>
      <c r="I6" t="str" xml:space="preserve">
        <v xml:space="preserve">Form không đăng nhập thành công khi email/password trống; validation hiển thị.
Test date: 2026-10-30</v>
      </c>
    </row>
    <row r="7" ht="110.40000000000002" customHeight="1" xml:space="preserve">
      <c r="A7" t="str">
        <v>Profile_LoginInvalidEmail_06</v>
      </c>
      <c r="B7" t="str">
        <v>Kiểm tra định dạng email không hợp lệ ở form đăng nhập</v>
      </c>
      <c r="C7" t="str" xml:space="preserve">
        <v xml:space="preserve">Pre-condition:
+ Truy cập URL https://demo.mahocommerce.com/default/; chỉ thao tác trên phần Storefront. Tài khoản test đã được tạo sẵn nếu testcase cần đăng nhập.
Step:
1. Mở trang Sign In
2. Nhập email sai định dạng, ví dụ 'phong@' và nhập password bất kỳ
3. Nhấn Sign In</v>
      </c>
      <c r="D7" t="str" xml:space="preserve">
        <v xml:space="preserve">1. Email không hợp lệ bị chặn bởi validation phía giao diện hoặc thông báo lỗi phù hợp
2. Không đăng nhập thành công</v>
      </c>
      <c r="E7" t="str">
        <v>Profile_LoginPageOpen_01</v>
      </c>
      <c r="F7" t="str">
        <v>PASSED</v>
      </c>
      <c r="G7" t="str">
        <v>2026-10-30</v>
      </c>
      <c r="H7" t="str">
        <v>Phân vùng tương đương: email sai định dạng.</v>
      </c>
      <c r="I7" t="str" xml:space="preserve">
        <v xml:space="preserve">Email sai định dạng bị HTML validation đánh dấu invalid; chưa gửi thông tin đăng nhập.
Test date: 2026-10-30</v>
      </c>
    </row>
    <row r="8" ht="96.59999999999998" customHeight="1" xml:space="preserve">
      <c r="A8" t="str">
        <v>Profile_Logout_07</v>
      </c>
      <c r="B8" t="str">
        <v>Kiểm tra đăng xuất khỏi tài khoản khách hàng</v>
      </c>
      <c r="C8" t="str" xml:space="preserve">
        <v xml:space="preserve">Pre-condition:
+ Truy cập URL https://demo.mahocommerce.com/default/; chỉ thao tác trên phần Storefront. Tài khoản test đã được tạo sẵn nếu testcase cần đăng nhập.
Step:
1. Đăng nhập bằng tài khoản test hợp lệ
2. Mở menu tài khoản và chọn Sign Out / Log Out</v>
      </c>
      <c r="D8" t="str" xml:space="preserve">
        <v xml:space="preserve">1. Thông báo đăng xuất hoặc trang sau đăng xuất hiển thị
2. Truy cập lại trang account yêu cầu đăng nhập
3. Không còn hiển thị dữ liệu cá nhân trong phiên đã đăng xuất</v>
      </c>
      <c r="E8" t="str">
        <v>Profile_LoginValid_03</v>
      </c>
      <c r="F8" t="str">
        <v>PASSED</v>
      </c>
      <c r="G8" t="str">
        <v>2026-10-30</v>
      </c>
      <c r="H8" t="str">
        <v>Chỉ kiểm tra bằng giao diện storefront.</v>
      </c>
      <c r="I8" t="str" xml:space="preserve">
        <v xml:space="preserve">Đã logout; truy cập lại My Account yêu cầu đăng nhập.
Test date: 2026-10-30</v>
      </c>
    </row>
    <row r="9" ht="96.59999999999998" customHeight="1" xml:space="preserve">
      <c r="A9" t="str">
        <v>Profile_AccountInfoView_08</v>
      </c>
      <c r="B9" t="str">
        <v>Kiểm tra xem thông tin hồ sơ cá nhân</v>
      </c>
      <c r="C9" t="str" xml:space="preserve">
        <v xml:space="preserve">Pre-condition:
+ Truy cập URL https://demo.mahocommerce.com/default/; chỉ thao tác trên phần Storefront. Tài khoản test đã được tạo sẵn nếu testcase cần đăng nhập.
Step:
1. Đăng nhập bằng tài khoản test
2. Mở My Account / Account Information</v>
      </c>
      <c r="D9" t="str" xml:space="preserve">
        <v xml:space="preserve">1. Trang hiển thị thông tin hồ sơ thuộc đúng tài khoản đang đăng nhập
2. Thông tin được trình bày đầy đủ và không bị tràn/vỡ bố cục</v>
      </c>
      <c r="E9" t="str">
        <v>Profile_LoginValid_03</v>
      </c>
      <c r="F9" t="str">
        <v>PASSED</v>
      </c>
      <c r="G9" t="str">
        <v>2026-10-30</v>
      </c>
      <c r="H9" t="str">
        <v>Kiểm tra đọc thông tin cá nhân qua UI.</v>
      </c>
      <c r="I9" t="str" xml:space="preserve">
        <v xml:space="preserve">My Account / Account Information hiển thị trường thông tin khách hàng.
Test date: 2026-10-30</v>
      </c>
    </row>
    <row r="10" ht="124.2" customHeight="1" xml:space="preserve">
      <c r="A10" t="str">
        <v>Profile_AccountInfoEdit_09</v>
      </c>
      <c r="B10" t="str">
        <v>Kiểm tra cập nhật hồ sơ với dữ liệu hợp lệ</v>
      </c>
      <c r="C10" t="str" xml:space="preserve">
        <v xml:space="preserve">Pre-condition:
+ Truy cập URL https://demo.mahocommerce.com/default/; chỉ thao tác trên phần Storefront. Tài khoản test đã được tạo sẵn nếu testcase cần đăng nhập.
Step:
1. Đăng nhập bằng tài khoản test
2. Mở Account Information
3. Thay đổi một trường tên hồ sơ bằng giá trị test hợp lệ
4. Lưu thay đổi và mở lại trang</v>
      </c>
      <c r="D10" t="str" xml:space="preserve">
        <v xml:space="preserve">1. Hệ thống thông báo cập nhật thành công
2. Giá trị mới được hiển thị sau khi lưu và tải lại
3. Không làm thay đổi tài khoản khác</v>
      </c>
      <c r="E10" t="str">
        <v>Profile_AccountInfoView_08</v>
      </c>
      <c r="F10" t="str">
        <v>PASSED</v>
      </c>
      <c r="G10" t="str">
        <v>2026-10-30</v>
      </c>
      <c r="H10" t="str">
        <v>Khôi phục giá trị gốc sau khi hoàn tất nếu cần.</v>
      </c>
      <c r="I10" t="str" xml:space="preserve">
        <v xml:space="preserve">First Name và Last Name lưu thành công: QA1793376945259 ASM71793376945259.
Test date: 2026-10-30</v>
      </c>
    </row>
    <row r="11" ht="110.40000000000002" customHeight="1" xml:space="preserve">
      <c r="A11" t="str">
        <v>Profile_AccountInfoRequired_10</v>
      </c>
      <c r="B11" t="str">
        <v>Kiểm tra không cho lưu hồ sơ khi bỏ trống trường bắt buộc</v>
      </c>
      <c r="C11" t="str" xml:space="preserve">
        <v xml:space="preserve">Pre-condition:
+ Truy cập URL https://demo.mahocommerce.com/default/; chỉ thao tác trên phần Storefront. Tài khoản test đã được tạo sẵn nếu testcase cần đăng nhập.
Step:
1. Đăng nhập và mở Account Information
2. Xóa giá trị ở một trường được đánh dấu bắt buộc
3. Nhấn Save</v>
      </c>
      <c r="D11" t="str" xml:space="preserve">
        <v xml:space="preserve">1. Form không lưu thành công
2. Trường thiếu dữ liệu được đánh dấu hoặc có thông báo validation
3. Dữ liệu hợp lệ đã lưu trước đó không bị thay bằng giá trị rỗng</v>
      </c>
      <c r="E11" t="str">
        <v>Profile_AccountInfoView_08</v>
      </c>
      <c r="F11" t="str">
        <v>PASSED</v>
      </c>
      <c r="G11" t="str">
        <v>2026-10-30</v>
      </c>
      <c r="H11" t="str">
        <v>Chọn trường thực sự được đánh dấu required trên trang.</v>
      </c>
      <c r="I11" t="str" xml:space="preserve">
        <v xml:space="preserve">First Name trống bị validation của form từ chối.
Test date: 2026-10-30</v>
      </c>
    </row>
    <row r="12" ht="96.59999999999998" customHeight="1" xml:space="preserve">
      <c r="A12" t="str">
        <v>Address_BookOpen_11</v>
      </c>
      <c r="B12" t="str">
        <v>Kiểm tra mở trang Address Book và danh sách địa chỉ</v>
      </c>
      <c r="C12" t="str" xml:space="preserve">
        <v xml:space="preserve">Pre-condition:
+ Truy cập URL https://demo.mahocommerce.com/default/; chỉ thao tác trên phần Storefront. Tài khoản test đã được tạo sẵn nếu testcase cần đăng nhập.
Step:
1. Đăng nhập bằng tài khoản test
2. Mở Address Book trong menu tài khoản</v>
      </c>
      <c r="D12" t="str" xml:space="preserve">
        <v xml:space="preserve">1. Trang Address Book hiển thị
2. Địa chỉ mặc định và các địa chỉ bổ sung (nếu có) gắn với tài khoản hiện tại
3. Có thao tác thêm hoặc chỉnh sửa địa chỉ khi tính năng được hiển thị</v>
      </c>
      <c r="E12" t="str">
        <v>Profile_LoginValid_03</v>
      </c>
      <c r="F12" t="str">
        <v>PASSED</v>
      </c>
      <c r="G12" t="str">
        <v>2026-10-30</v>
      </c>
      <c r="H12" t="str">
        <v>Điều kiện: tài khoản storefront đã đăng nhập.</v>
      </c>
      <c r="I12" t="str" xml:space="preserve">
        <v xml:space="preserve">Address Book mở được và hiển thị nội dung địa chỉ.
Test date: 2026-10-30</v>
      </c>
    </row>
    <row r="13" ht="124.2" customHeight="1" xml:space="preserve">
      <c r="A13" t="str">
        <v>Address_AddValid_12</v>
      </c>
      <c r="B13" t="str">
        <v>Kiểm tra thêm địa chỉ mới với dữ liệu hợp lệ</v>
      </c>
      <c r="C13" t="str" xml:space="preserve">
        <v xml:space="preserve">Pre-condition:
+ Truy cập URL https://demo.mahocommerce.com/default/; chỉ thao tác trên phần Storefront. Tài khoản test đã được tạo sẵn nếu testcase cần đăng nhập.
Step:
1. Mở Address Book và chọn Add New Address
2. Nhập họ tên, địa chỉ đường, thành phố, quốc gia/khu vực, postal code và điện thoại hợp lệ theo form
3. Lưu địa chỉ</v>
      </c>
      <c r="D13" t="str" xml:space="preserve">
        <v xml:space="preserve">1. Hiển thị thông báo lưu thành công
2. Địa chỉ mới xuất hiện trong danh sách đúng một lần
3. Các trường đã nhập hiển thị chính xác sau khi mở lại</v>
      </c>
      <c r="E13" t="str">
        <v>Address_BookOpen_11</v>
      </c>
      <c r="F13" t="str">
        <v>PASSED</v>
      </c>
      <c r="G13" t="str">
        <v>2026-10-30</v>
      </c>
      <c r="H13" t="str">
        <v>Dùng dữ liệu test, không dùng địa chỉ riêng của người thật.</v>
      </c>
      <c r="I13" t="str" xml:space="preserve">
        <v xml:space="preserve">Địa chỉ hợp lệ ADD-1793376968706-2082 được lưu và xuất hiện trong Address Book.
Test date: 2026-10-30</v>
      </c>
    </row>
    <row r="14" ht="124.2" customHeight="1" xml:space="preserve">
      <c r="A14" t="str">
        <v>Address_AddRequired_13</v>
      </c>
      <c r="B14" t="str">
        <v>Kiểm tra validation khi bỏ trống trường bắt buộc của địa chỉ</v>
      </c>
      <c r="C14" t="str" xml:space="preserve">
        <v xml:space="preserve">Pre-condition:
+ Truy cập URL https://demo.mahocommerce.com/default/; chỉ thao tác trên phần Storefront. Tài khoản test đã được tạo sẵn nếu testcase cần đăng nhập.
Step:
1. Mở form thêm địa chỉ
2. Để trống lần lượt một trường được đánh dấu bắt buộc, giữ các trường khác hợp lệ
3. Nhấn Save Address</v>
      </c>
      <c r="D14" t="str" xml:space="preserve">
        <v xml:space="preserve">1. Không lưu địa chỉ thiếu dữ liệu
2. Trường bắt buộc được nêu rõ bằng thông báo hoặc trạng thái validation
3. Không tạo bản ghi địa chỉ rỗng trong danh sách</v>
      </c>
      <c r="E14" t="str">
        <v>Address_BookOpen_11</v>
      </c>
      <c r="F14" t="str">
        <v>BLOCKED</v>
      </c>
      <c r="G14" t="str">
        <v>2026-10-30</v>
      </c>
      <c r="H14" t="str">
        <v>Lặp lại theo từng trường required nếu muốn kiểm tra độc lập.</v>
      </c>
      <c r="I14" t="str" xml:space="preserve">
        <v xml:space="preserve">BLOCKED — Address_AddRequired_13: BLOCKED: Street Address không được đánh dấu required trong DOM.; URL=https://demo.mahocommerce.com/default/customer/address/new/; UI=Skip to main content
Demo store. Orders are not processed. Next reset in 1h 43m 37s.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Add New Address
Contact Information
First Name
Last Name
Company
Telephone
Address
Country
Afghanistan
Albania
Algeria
American Samoa
Andorra
Angola
Anguilla
Antarctica
Antigua &amp; Barbuda
Argentina
Armenia
Aruba
Australia
Austria
Azerbaijan
Bahamas
Bahrain
Bangladesh
Barbados
Belarus
Belgium
Belize
Benin
Bermuda
Bhutan
Bolivia
Bos
Test date: 2026-10-30</v>
      </c>
    </row>
    <row r="15" ht="124.2" customHeight="1" xml:space="preserve">
      <c r="A15" t="str">
        <v>Address_PhoneValid_14</v>
      </c>
      <c r="B15" t="str">
        <v>Kiểm tra chấp nhận số điện thoại hợp lệ theo quốc gia đã chọn</v>
      </c>
      <c r="C15" t="str" xml:space="preserve">
        <v xml:space="preserve">Pre-condition:
+ Truy cập URL https://demo.mahocommerce.com/default/; chỉ thao tác trên phần Storefront. Tài khoản test đã được tạo sẵn nếu testcase cần đăng nhập.
Step:
1. Mở form thêm/sửa địa chỉ
2. Chọn quốc gia cần kiểm tra
3. Nhập số điện thoại test đúng định dạng được chấp nhận
4. Lưu địa chỉ</v>
      </c>
      <c r="D15" t="str" xml:space="preserve">
        <v xml:space="preserve">1. Form chấp nhận giá trị điện thoại hợp lệ
2. Địa chỉ được lưu và số điện thoại được hiển thị đúng sau khi mở lại</v>
      </c>
      <c r="E15" t="str">
        <v>Address_BookOpen_11</v>
      </c>
      <c r="F15" t="str">
        <v>PASSED</v>
      </c>
      <c r="G15" t="str">
        <v>2026-10-30</v>
      </c>
      <c r="H15" t="str">
        <v>Phân vùng tương đương: số điện thoại hợp lệ; dùng số giả lập/test.</v>
      </c>
      <c r="I15" t="str" xml:space="preserve">
        <v xml:space="preserve">Telephone hợp lệ 4155550136 được lưu cùng địa chỉ PHONE-1793376986274-4208.
Test date: 2026-10-30</v>
      </c>
    </row>
    <row r="16" ht="110.40000000000002" customHeight="1" xml:space="preserve">
      <c r="A16" t="str">
        <v>Address_PhoneLetters_15</v>
      </c>
      <c r="B16" t="str">
        <v>Kiểm tra xử lý số điện thoại chứa chữ cái</v>
      </c>
      <c r="C16" t="str" xml:space="preserve">
        <v xml:space="preserve">Pre-condition:
+ Truy cập URL https://demo.mahocommerce.com/default/; chỉ thao tác trên phần Storefront. Tài khoản test đã được tạo sẵn nếu testcase cần đăng nhập.
Step:
1. Mở form thêm/sửa địa chỉ
2. Nhập chuỗi gồm chữ cái vào Phone
3. Điền các trường còn lại hợp lệ và lưu</v>
      </c>
      <c r="D16" t="str" xml:space="preserve">
        <v xml:space="preserve">1. Nếu trường có validation số điện thoại, dữ liệu không hợp lệ bị chặn với thông báo rõ ràng
2. Không âm thầm lưu giá trị sai định dạng</v>
      </c>
      <c r="E16" t="str">
        <v>Address_BookOpen_11</v>
      </c>
      <c r="F16" t="str">
        <v>PASSED</v>
      </c>
      <c r="G16" t="str">
        <v>2026-10-30</v>
      </c>
      <c r="H16" t="str">
        <v>Ghi nhận hành vi thực tế nếu storefront cho phép ký tự chữ theo chuẩn quốc gia.</v>
      </c>
      <c r="I16" t="str" xml:space="preserve">
        <v xml:space="preserve">Phone chứa chữ được storefront chấp nhận; feedback=false.
Test date: 2026-10-30</v>
      </c>
    </row>
    <row r="17" ht="110.40000000000002" customHeight="1" xml:space="preserve">
      <c r="A17" t="str">
        <v>Address_PhoneSymbols_16</v>
      </c>
      <c r="B17" t="str">
        <v>Kiểm tra xử lý số điện thoại chỉ gồm ký tự đặc biệt</v>
      </c>
      <c r="C17" t="str" xml:space="preserve">
        <v xml:space="preserve">Pre-condition:
+ Truy cập URL https://demo.mahocommerce.com/default/; chỉ thao tác trên phần Storefront. Tài khoản test đã được tạo sẵn nếu testcase cần đăng nhập.
Step:
1. Mở form thêm/sửa địa chỉ
2. Nhập chuỗi như '!!!@@@' vào Phone
3. Điền các trường còn lại hợp lệ và lưu</v>
      </c>
      <c r="D17" t="str" xml:space="preserve">
        <v xml:space="preserve">1. Giá trị không tạo thành số điện thoại hợp lệ bị chặn hoặc hiển thị lỗi validation
2. Không xảy ra lỗi trang hoặc lỗi JavaScript</v>
      </c>
      <c r="E17" t="str">
        <v>Address_BookOpen_11</v>
      </c>
      <c r="F17" t="str">
        <v>PASSED</v>
      </c>
      <c r="G17" t="str">
        <v>2026-10-30</v>
      </c>
      <c r="H17" t="str">
        <v>Phân vùng tương đương: dữ liệu điện thoại không hợp lệ.</v>
      </c>
      <c r="I17" t="str" xml:space="preserve">
        <v xml:space="preserve">Phone chỉ có ký tự đặc biệt được storefront chấp nhận; feedback=false.
Test date: 2026-10-30</v>
      </c>
    </row>
    <row r="18" ht="124.2" customHeight="1" xml:space="preserve">
      <c r="A18" t="str">
        <v>Address_PhoneBoundary_17</v>
      </c>
      <c r="B18" t="str">
        <v>Kiểm tra giá trị biên độ dài số điện thoại</v>
      </c>
      <c r="C18" t="str" xml:space="preserve">
        <v xml:space="preserve">Pre-condition:
+ Truy cập URL https://demo.mahocommerce.com/default/; chỉ thao tác trên phần Storefront. Tài khoản test đã được tạo sẵn nếu testcase cần đăng nhập.
Step:
1. Mở form thêm/sửa địa chỉ
2. Thử nhập số điện thoại ngắn hơn giới hạn hiển thị/documented (nếu có)
3. Thử nhập giá trị tại giới hạn và dài hơn giới hạn một ký tự
4. Lưu từng trường hợp với các trường khác hợp lệ</v>
      </c>
      <c r="D18" t="str" xml:space="preserve">
        <v xml:space="preserve">1. Giá trị trong giới hạn được xử lý theo quy tắc trang
2. Giá trị vượt giới hạn bị chặn hoặc có thông báo phù hợp
3. Không cắt dữ liệu âm thầm nếu làm sai số điện thoại</v>
      </c>
      <c r="E18" t="str">
        <v>Address_BookOpen_11</v>
      </c>
      <c r="F18" t="str">
        <v>BLOCKED</v>
      </c>
      <c r="G18" t="str">
        <v>2026-10-30</v>
      </c>
      <c r="H18" t="str">
        <v>Giá trị biên: min-1, min, max, max+1; xác định giới hạn từ UI/spec trước khi chạy.</v>
      </c>
      <c r="I18" t="str" xml:space="preserve">
        <v xml:space="preserve">BLOCKED — Address_PhoneBoundary_17: BLOCKED: UI không công bố minlength/maxlength/pattern; cần tài liệu business rule để xác định biên.; URL=https://demo.mahocommerce.com/default/customer/address/new/; UI=Skip to main content
Demo store. Orders are not processed. Next reset in 1h 43m 11s.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Add New Address
Contact Information
First Name
Last Name
Company
Telephone
Address
Country
Afghanistan
Albania
Algeria
American Samoa
Andorra
Angola
Anguilla
Antarctica
Antigua &amp; Barbuda
Argentina
Armenia
Aruba
Australia
Austria
Azerbaijan
Bahamas
Bahrain
Bangladesh
Barbados
Belarus
Belgium
Belize
Benin
Bermuda
Bhutan
Bolivia
Bos
Test date: 2026-10-30</v>
      </c>
    </row>
    <row r="19" ht="124.2" customHeight="1" xml:space="preserve">
      <c r="A19" t="str">
        <v>Address_PostalValid_18</v>
      </c>
      <c r="B19" t="str">
        <v>Kiểm tra chấp nhận postal code hợp lệ với quốc gia đã chọn</v>
      </c>
      <c r="C19" t="str" xml:space="preserve">
        <v xml:space="preserve">Pre-condition:
+ Truy cập URL https://demo.mahocommerce.com/default/; chỉ thao tác trên phần Storefront. Tài khoản test đã được tạo sẵn nếu testcase cần đăng nhập.
Step:
1. Mở form thêm/sửa địa chỉ
2. Chọn một quốc gia có quy tắc postal code xác định
3. Nhập postal code hợp lệ cho quốc gia đó
4. Lưu địa chỉ</v>
      </c>
      <c r="D19" t="str" xml:space="preserve">
        <v xml:space="preserve">1. Form chấp nhận postal code đúng định dạng
2. Giá trị được lưu và hiển thị chính xác</v>
      </c>
      <c r="E19" t="str">
        <v>Address_BookOpen_11</v>
      </c>
      <c r="F19" t="str">
        <v>PASSED</v>
      </c>
      <c r="G19" t="str">
        <v>2026-10-30</v>
      </c>
      <c r="H19" t="str">
        <v>Chọn test data theo quốc gia; không giả định mọi quốc gia dùng cùng một định dạng.</v>
      </c>
      <c r="I19" t="str" xml:space="preserve">
        <v xml:space="preserve">ZIP 90210 được chấp nhận và địa chỉ ZIP-1793377011556-365 được lưu.
Test date: 2026-10-30</v>
      </c>
    </row>
    <row r="20" ht="124.2" customHeight="1" xml:space="preserve">
      <c r="A20" t="str">
        <v>Address_PostalInvalid_19</v>
      </c>
      <c r="B20" t="str">
        <v>Kiểm tra postal code không hợp lệ với quốc gia đã chọn</v>
      </c>
      <c r="C20" t="str" xml:space="preserve">
        <v xml:space="preserve">Pre-condition:
+ Truy cập URL https://demo.mahocommerce.com/default/; chỉ thao tác trên phần Storefront. Tài khoản test đã được tạo sẵn nếu testcase cần đăng nhập.
Step:
1. Mở form thêm/sửa địa chỉ
2. Chọn quốc gia có quy tắc postal code xác định
3. Nhập giá trị sai định dạng theo quốc gia, ví dụ ký tự không được chấp nhận
4. Lưu địa chỉ</v>
      </c>
      <c r="D20" t="str" xml:space="preserve">
        <v xml:space="preserve">1. Nếu storefront kiểm tra định dạng postal code, form hiển thị validation và không lưu dữ liệu sai
2. Nếu hệ thống chỉ kiểm tra trường bắt buộc, ghi nhận hành vi thực tế và đối chiếu yêu cầu nghiệp vụ</v>
      </c>
      <c r="E20" t="str">
        <v>Address_BookOpen_11</v>
      </c>
      <c r="F20" t="str">
        <v>PASSED</v>
      </c>
      <c r="G20" t="str">
        <v>2026-10-30</v>
      </c>
      <c r="H20" t="str">
        <v>Case phụ thuộc quy tắc địa chỉ được cấu hình cho quốc gia.</v>
      </c>
      <c r="I20" t="str" xml:space="preserve">
        <v xml:space="preserve">ZIP ABCDE được validation từ chối; feedback=true.
Test date: 2026-10-30</v>
      </c>
    </row>
    <row r="21" ht="110.40000000000002" customHeight="1" xml:space="preserve">
      <c r="A21" t="str">
        <v>Address_PostalBoundary_20</v>
      </c>
      <c r="B21" t="str">
        <v>Kiểm tra giá trị biên chiều dài postal code</v>
      </c>
      <c r="C21" t="str" xml:space="preserve">
        <v xml:space="preserve">Pre-condition:
+ Truy cập URL https://demo.mahocommerce.com/default/; chỉ thao tác trên phần Storefront. Tài khoản test đã được tạo sẵn nếu testcase cần đăng nhập.
Step:
1. Xác định giới hạn/định dạng postal code theo quốc gia đã chọn
2. Nhập giá trị ngắn hơn một ký tự, giá trị tại biên và dài hơn một ký tự
3. Thử lưu từng trường hợp với dữ liệu còn lại hợp lệ</v>
      </c>
      <c r="D21" t="str" xml:space="preserve">
        <v xml:space="preserve">1. Các giá trị hợp lệ được chấp nhận theo quy tắc quốc gia
2. Giá trị ngoài giới hạn bị chặn hoặc hiển thị lỗi phù hợp
3. Không làm hỏng bố cục form</v>
      </c>
      <c r="E21" t="str">
        <v>Address_BookOpen_11</v>
      </c>
      <c r="F21" t="str">
        <v>BLOCKED</v>
      </c>
      <c r="G21" t="str">
        <v>2026-10-30</v>
      </c>
      <c r="H21" t="str">
        <v>Giá trị biên: min-1, min, max, max+1; không áp dụng một con số chung cho mọi quốc gia.</v>
      </c>
      <c r="I21" t="str" xml:space="preserve">
        <v xml:space="preserve">BLOCKED — Address_PostalBoundary_20: BLOCKED: UI không công bố giới hạn Postal Code; không thể dựng biên hợp lệ một cách có căn cứ.; URL=https://demo.mahocommerce.com/default/customer/address/new/; UI=Skip to main content
Demo store. Orders are not processed. Next reset in 1h 42m 53s.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Add New Address
Contact Information
First Name
Last Name
Company
Telephone
Address
Country
Afghanistan
Albania
Algeria
American Samoa
Andorra
Angola
Anguilla
Antarctica
Antigua &amp; Barbuda
Argentina
Armenia
Aruba
Australia
Austria
Azerbaijan
Bahamas
Bahrain
Bangladesh
Barbados
Belarus
Belgium
Belize
Benin
Bermuda
Bhutan
Bolivia
Bos
Test date: 2026-10-30</v>
      </c>
    </row>
    <row r="22" ht="110.40000000000002" customHeight="1" xml:space="preserve">
      <c r="A22" t="str">
        <v>Address_DefaultShipping_21</v>
      </c>
      <c r="B22" t="str">
        <v>Kiểm tra thiết lập địa chỉ mặc định giao hàng</v>
      </c>
      <c r="C22" t="str" xml:space="preserve">
        <v xml:space="preserve">Pre-condition:
+ Truy cập URL https://demo.mahocommerce.com/default/; chỉ thao tác trên phần Storefront. Tài khoản test đã được tạo sẵn nếu testcase cần đăng nhập.
Step:
1. Mở form thêm địa chỉ hoặc sửa một địa chỉ có sẵn
2. Chọn tùy chọn Use as my default shipping address nếu được cung cấp
3. Lưu và mở lại Address Book</v>
      </c>
      <c r="D22" t="str" xml:space="preserve">
        <v xml:space="preserve">1. Địa chỉ đã chọn được hiển thị là địa chỉ giao hàng mặc định
2. Trạng thái mặc định vẫn giữ sau khi tải lại trang</v>
      </c>
      <c r="E22" t="str">
        <v>Address_AddValid_12</v>
      </c>
      <c r="F22" t="str">
        <v>PASSED</v>
      </c>
      <c r="G22" t="str">
        <v>2026-10-30</v>
      </c>
      <c r="H22" t="str">
        <v>Không cần sử dụng bước thanh toán.</v>
      </c>
      <c r="I22" t="str" xml:space="preserve">
        <v xml:space="preserve">Địa chỉ SHIP-1793377030165-4264 được đánh dấu Default Shipping.
Test date: 2026-10-30</v>
      </c>
    </row>
    <row r="23" ht="110.40000000000002" customHeight="1" xml:space="preserve">
      <c r="A23" t="str">
        <v>Address_DefaultBilling_22</v>
      </c>
      <c r="B23" t="str">
        <v>Kiểm tra thiết lập địa chỉ mặc định thanh toán</v>
      </c>
      <c r="C23" t="str" xml:space="preserve">
        <v xml:space="preserve">Pre-condition:
+ Truy cập URL https://demo.mahocommerce.com/default/; chỉ thao tác trên phần Storefront. Tài khoản test đã được tạo sẵn nếu testcase cần đăng nhập.
Step:
1. Mở form thêm địa chỉ hoặc sửa địa chỉ có sẵn
2. Chọn tùy chọn Use as my default billing address nếu được cung cấp
3. Lưu và mở lại Address Book</v>
      </c>
      <c r="D23" t="str" xml:space="preserve">
        <v xml:space="preserve">1. Địa chỉ đã chọn được hiển thị là địa chỉ thanh toán mặc định
2. Không nhầm lẫn trạng thái billing với shipping</v>
      </c>
      <c r="E23" t="str">
        <v>Address_AddValid_12</v>
      </c>
      <c r="F23" t="str">
        <v>PASSED</v>
      </c>
      <c r="G23" t="str">
        <v>2026-10-30</v>
      </c>
      <c r="H23" t="str">
        <v>Chỉ kiểm tra những tùy chọn thật sự hiển thị trên storefront.</v>
      </c>
      <c r="I23" t="str" xml:space="preserve">
        <v xml:space="preserve">Địa chỉ BILL-1793377036207-235 được đánh dấu Default Billing.
Test date: 2026-10-30</v>
      </c>
    </row>
    <row r="24" ht="124.2" customHeight="1" xml:space="preserve">
      <c r="A24" t="str">
        <v>Address_EditValid_23</v>
      </c>
      <c r="B24" t="str">
        <v>Kiểm tra sửa địa chỉ đã lưu</v>
      </c>
      <c r="C24" t="str" xml:space="preserve">
        <v xml:space="preserve">Pre-condition:
+ Truy cập URL https://demo.mahocommerce.com/default/; chỉ thao tác trên phần Storefront. Tài khoản test đã được tạo sẵn nếu testcase cần đăng nhập.
Step:
1. Mở Address Book
2. Chọn Edit tại một địa chỉ không mặc định do nhóm tạo
3. Thay đổi một trường như City hoặc Street bằng giá trị test hợp lệ
4. Lưu và mở lại danh sách</v>
      </c>
      <c r="D24" t="str" xml:space="preserve">
        <v xml:space="preserve">1. Thông báo cập nhật thành công
2. Địa chỉ hiển thị giá trị mới
3. Các trường không chỉnh sửa vẫn giữ nguyên</v>
      </c>
      <c r="E24" t="str">
        <v>Address_AddValid_12</v>
      </c>
      <c r="F24" t="str">
        <v>PASSED</v>
      </c>
      <c r="G24" t="str">
        <v>2026-10-30</v>
      </c>
      <c r="H24" t="str">
        <v>Dùng địa chỉ test dễ nhận diện để tránh sửa dữ liệu người khác.</v>
      </c>
      <c r="I24" t="str" xml:space="preserve">
        <v xml:space="preserve">Địa chỉ EDIT-1793377042369-6585 đã cập nhật City=Los Angeles.
Test date: 2026-10-30</v>
      </c>
    </row>
    <row r="25" ht="110.40000000000002" customHeight="1" xml:space="preserve">
      <c r="A25" t="str">
        <v>Address_DeleteNonDefault_24</v>
      </c>
      <c r="B25" t="str">
        <v>Kiểm tra xóa địa chỉ bổ sung không phải địa chỉ mặc định</v>
      </c>
      <c r="C25" t="str" xml:space="preserve">
        <v xml:space="preserve">Pre-condition:
+ Truy cập URL https://demo.mahocommerce.com/default/; chỉ thao tác trên phần Storefront. Tài khoản test đã được tạo sẵn nếu testcase cần đăng nhập.
Step:
1. Đảm bảo có địa chỉ bổ sung test không được dùng làm mặc định
2. Chọn Delete đối với địa chỉ đó
3. Xác nhận xóa nếu trang yêu cầu</v>
      </c>
      <c r="D25" t="str" xml:space="preserve">
        <v xml:space="preserve">1. Địa chỉ bị xóa khỏi danh sách sau khi xác nhận
2. Các địa chỉ khác vẫn còn nguyên
3. Hiển thị thông báo kết quả nếu giao diện hỗ trợ</v>
      </c>
      <c r="E25" t="str">
        <v>Address_AddValid_12</v>
      </c>
      <c r="F25" t="str">
        <v>FAILED</v>
      </c>
      <c r="G25" t="str">
        <v>2026-10-30</v>
      </c>
      <c r="H25" t="str">
        <v>Không xóa địa chỉ đang thuộc dữ liệu của người dùng khác.</v>
      </c>
      <c r="I25" t="str" xml:space="preserve">
        <v xml:space="preserve">FAILED — Address_DeleteNonDefault_24: _x001b_[2mexpect(_x001b_[22m_x001b_[31mreceived_x001b_[39m_x001b_[2m)._x001b_[22mtoBeTruthy_x001b_[2m()_x001b_[22m
Received: _x001b_[31mfalse_x001b_[39m; URL=https://demo.mahocommerce.com/default/customer/address/#; UI=Skip to main content
Demo store. Orders are not processed. Next reset in 1h 42m 13s.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Address Book
Add New Address
Default Addresses
Default Billing Address
QA ASM7
123 Automation Test Street BILL-1793377036207-235
Beverly Hills, California, 90210
United States
T: 4155550136
Change Billing Address
Default Shipping Address
QA ASM7
123 Automation Test Street SHIP-1793377030165-4264
Beverly Hills, California, 90210
Test date: 2026-10-30</v>
      </c>
    </row>
    <row r="26" ht="124.2" customHeight="1" xml:space="preserve">
      <c r="A26" t="str">
        <v>Address_DeleteDefault_25</v>
      </c>
      <c r="B26" t="str">
        <v>Kiểm tra xử lý khi yêu cầu xóa địa chỉ mặc định</v>
      </c>
      <c r="C26" t="str" xml:space="preserve">
        <v xml:space="preserve">Pre-condition:
+ Truy cập URL https://demo.mahocommerce.com/default/; chỉ thao tác trên phần Storefront. Tài khoản test đã được tạo sẵn nếu testcase cần đăng nhập.
Step:
1. Mở Address Book
2. Thực hiện thao tác xóa trên địa chỉ đang là mặc định nếu UI cho phép thao tác này
3. Quan sát cảnh báo/xác nhận và trạng thái sau thao tác</v>
      </c>
      <c r="D26" t="str" xml:space="preserve">
        <v xml:space="preserve">1. Hệ thống không để tài khoản rơi vào trạng thái địa chỉ mặc định không hợp lệ; yêu cầu đổi địa chỉ mặc định hoặc từ chối xóa theo quy tắc storefront
2. Địa chỉ không bị xóa âm thầm mà không có xác nhận</v>
      </c>
      <c r="E26" t="str">
        <v>Address_DefaultShipping_21</v>
      </c>
      <c r="F26" t="str">
        <v>PASSED</v>
      </c>
      <c r="G26" t="str">
        <v>2026-10-30</v>
      </c>
      <c r="H26" t="str">
        <v>Kiểm tra chuyển trạng thái mặc định; kết quả cụ thể phải đối chiếu hành vi được cấu hình.</v>
      </c>
      <c r="I26" t="str" xml:space="preserve">
        <v xml:space="preserve">UI không cung cấp xóa cho địa chỉ mặc định DEFAULT-1793377071647-7302; địa chỉ mặc định vẫn được giữ.
Test date: 2026-10-30</v>
      </c>
    </row>
  </sheetData>
  <pageMargins left="0.7" right="0.7" top="0.75" bottom="0.75" header="0.3" footer="0.3"/>
  <ignoredErrors>
    <ignoredError numberStoredAsText="1" sqref="A1:I26"/>
  </ignoredErrors>
</worksheet>
</file>

<file path=xl/worksheets/sheet4.xml><?xml version="1.0" encoding="utf-8"?>
<worksheet xmlns="http://schemas.openxmlformats.org/spreadsheetml/2006/main" xmlns:r="http://schemas.openxmlformats.org/officeDocument/2006/relationships">
  <dimension ref="A1:I27"/>
  <sheetViews>
    <sheetView workbookViewId="0" rightToLeft="0"/>
  </sheetViews>
  <cols>
    <col min="1" max="1" customWidth="1" width="28"/>
    <col min="2" max="2" customWidth="1" width="54"/>
    <col min="3" max="3" customWidth="1" width="66"/>
    <col min="4" max="4" customWidth="1" width="58"/>
    <col min="5" max="5" customWidth="1" width="28"/>
    <col min="6" max="6" customWidth="1" width="15"/>
    <col min="7" max="7" customWidth="1" width="16"/>
    <col min="8" max="8" customWidth="1" width="48"/>
    <col min="9" max="9" customWidth="1" width="70"/>
  </cols>
  <sheetData>
    <row r="1" ht="30" customHeight="1">
      <c r="A1" t="str">
        <v>ID</v>
      </c>
      <c r="B1" t="str">
        <v>Test Case Description</v>
      </c>
      <c r="C1" t="str">
        <v>Test Case Procedure</v>
      </c>
      <c r="D1" t="str">
        <v>Expected Output</v>
      </c>
      <c r="E1" t="str">
        <v>Inter-test case Dependence</v>
      </c>
      <c r="F1" t="str">
        <v>Result</v>
      </c>
      <c r="G1" t="str">
        <v>Test date</v>
      </c>
      <c r="H1" t="str">
        <v>Note</v>
      </c>
      <c r="I1" t="str">
        <v>Actual Result</v>
      </c>
    </row>
    <row r="2" ht="110.40000000000002" customHeight="1" xml:space="preserve">
      <c r="A2" t="str">
        <v>Cart_OpenEmpty_01</v>
      </c>
      <c r="B2" t="str">
        <v>Kiểm tra mở giỏ hàng khi chưa có sản phẩm</v>
      </c>
      <c r="C2" t="str" xml:space="preserve">
        <v xml:space="preserve">Pre-condition:
+ Truy cập URL https://demo.mahocommerce.com/default/; chỉ thao tác trên phần Storefront. Sử dụng sản phẩm có sẵn hàng và dữ liệu test; không dùng phương thức thanh toán thật.
Step:
1. Mở storefront trong phiên trình duyệt sạch hoặc xóa các sản phẩm đã thêm
2. Chọn biểu tượng/đường dẫn Cart</v>
      </c>
      <c r="D2" t="str" xml:space="preserve">
        <v xml:space="preserve">1. Trang giỏ hàng hiển thị trạng thái rỗng và hướng dẫn tiếp tục mua sắm
2. Không hiển thị tổng tiền hoặc dòng sản phẩm cũ không thuộc phiên hiện tại</v>
      </c>
      <c r="E2" t="str">
        <v>Không</v>
      </c>
      <c r="F2" t="str">
        <v>PASSED</v>
      </c>
      <c r="G2" t="str">
        <v>2026-10-30</v>
      </c>
      <c r="H2" t="str">
        <v>Kiểm tra trạng thái giỏ hàng ban đầu.</v>
      </c>
      <c r="I2" t="str" xml:space="preserve">
        <v xml:space="preserve">Cart ở trạng thái rỗng và không chứa dòng sản phẩm.
Test date: 2026-10-30</v>
      </c>
    </row>
    <row r="3" ht="138" customHeight="1" xml:space="preserve">
      <c r="A3" t="str">
        <v>Cart_AddProduct_02</v>
      </c>
      <c r="B3" t="str">
        <v>Kiểm tra thêm một sản phẩm còn hàng vào giỏ</v>
      </c>
      <c r="C3" t="str" xml:space="preserve">
        <v xml:space="preserve">Pre-condition:
+ Truy cập URL https://demo.mahocommerce.com/default/; chỉ thao tác trên phần Storefront. Sử dụng sản phẩm có sẵn hàng và dữ liệu test; không dùng phương thức thanh toán thật.
Step:
1. Mở trang chi tiết sản phẩm đang hiển thị In stock
2. Chọn các tùy chọn bắt buộc nếu có
3. Nhấn Add to Cart
4. Mở mini-cart hoặc trang Cart</v>
      </c>
      <c r="D3" t="str" xml:space="preserve">
        <v xml:space="preserve">1. Có thông báo thêm vào giỏ thành công
2. Sản phẩm, tùy chọn và giá hiển thị đúng
3. Số lượng giỏ hàng tăng tương ứng</v>
      </c>
      <c r="E3" t="str">
        <v>Cart_OpenEmpty_01</v>
      </c>
      <c r="F3" t="str">
        <v>PASSED</v>
      </c>
      <c r="G3" t="str">
        <v>2026-10-30</v>
      </c>
      <c r="H3" t="str">
        <v>Chỉ thao tác trên storefront; không truy cập admin/backend.</v>
      </c>
      <c r="I3" t="str" xml:space="preserve">
        <v xml:space="preserve">Cart ban đầu rỗng; sau Add to Cart hiển thị Bib shorts, quantity=1.
Test date: 2026-10-30</v>
      </c>
    </row>
    <row r="4" ht="124.2" customHeight="1" xml:space="preserve">
      <c r="A4" t="str">
        <v>Cart_AddSameProduct_03</v>
      </c>
      <c r="B4" t="str">
        <v>Kiểm tra thêm cùng một sản phẩm vào giỏ hai lần</v>
      </c>
      <c r="C4" t="str" xml:space="preserve">
        <v xml:space="preserve">Pre-condition:
+ Truy cập URL https://demo.mahocommerce.com/default/; chỉ thao tác trên phần Storefront. Sử dụng sản phẩm có sẵn hàng và dữ liệu test; không dùng phương thức thanh toán thật.
Step:
1. Thêm sản phẩm test vào giỏ
2. Quay lại sản phẩm và thêm cùng SKU/tùy chọn lần nữa
3. Mở Cart</v>
      </c>
      <c r="D4" t="str" xml:space="preserve">
        <v xml:space="preserve">1. Giỏ hàng phản ánh tổng số lượng đúng
2. Sản phẩm cùng SKU/tùy chọn được gộp hoặc tách dòng theo quy tắc storefront
3. Tổng tiền được tính nhất quán</v>
      </c>
      <c r="E4" t="str">
        <v>Cart_AddProduct_02</v>
      </c>
      <c r="F4" t="str">
        <v>PASSED</v>
      </c>
      <c r="G4" t="str">
        <v>2026-10-30</v>
      </c>
      <c r="H4" t="str">
        <v>Thử cùng một biến thể để tránh nhầm với SKU khác.</v>
      </c>
      <c r="I4" t="str" xml:space="preserve">
        <v xml:space="preserve">Thêm cùng sản phẩm hai lần; Cart quantity=2.
Test date: 2026-10-30</v>
      </c>
    </row>
    <row r="5" ht="124.2" customHeight="1" xml:space="preserve">
      <c r="A5" t="str">
        <v>Cart_UpdateQtyValid_04</v>
      </c>
      <c r="B5" t="str">
        <v>Kiểm tra cập nhật số lượng sản phẩm sang giá trị nguyên dương</v>
      </c>
      <c r="C5" t="str" xml:space="preserve">
        <v xml:space="preserve">Pre-condition:
+ Truy cập URL https://demo.mahocommerce.com/default/; chỉ thao tác trên phần Storefront. Sử dụng sản phẩm có sẵn hàng và dữ liệu test; không dùng phương thức thanh toán thật.
Step:
1. Thêm một sản phẩm vào giỏ
2. Tại Cart, đổi Qty thành 2
3. Nhấn Update/Update Cart nếu có</v>
      </c>
      <c r="D5" t="str" xml:space="preserve">
        <v xml:space="preserve">1. Số lượng được cập nhật thành 2
2. Subtotal của dòng hàng thay đổi theo đơn giá × số lượng
3. Tổng giỏ hàng được tính lại</v>
      </c>
      <c r="E5" t="str">
        <v>Cart_AddProduct_02</v>
      </c>
      <c r="F5" t="str">
        <v>PASSED</v>
      </c>
      <c r="G5" t="str">
        <v>2026-10-30</v>
      </c>
      <c r="H5" t="str">
        <v>Phân vùng tương đương: số lượng hợp lệ.</v>
      </c>
      <c r="I5" t="str" xml:space="preserve">
        <v xml:space="preserve">Quantity được cập nhật từ 1 lên 2 và vẫn giữ sau khi tải lại Cart.
Test date: 2026-10-30</v>
      </c>
    </row>
    <row r="6" ht="124.2" customHeight="1" xml:space="preserve">
      <c r="A6" t="str">
        <v>Cart_UpdateQtyZero_05</v>
      </c>
      <c r="B6" t="str">
        <v>Kiểm tra xử lý khi đặt số lượng bằng 0</v>
      </c>
      <c r="C6" t="str" xml:space="preserve">
        <v xml:space="preserve">Pre-condition:
+ Truy cập URL https://demo.mahocommerce.com/default/; chỉ thao tác trên phần Storefront. Sử dụng sản phẩm có sẵn hàng và dữ liệu test; không dùng phương thức thanh toán thật.
Step:
1. Mở Cart có ít nhất một sản phẩm
2. Đổi Qty thành 0
3. Cập nhật giỏ hàng</v>
      </c>
      <c r="D6" t="str" xml:space="preserve">
        <v xml:space="preserve">1. Hệ thống xử lý theo quy tắc storefront: xóa dòng hàng hoặc hiển thị validation yêu cầu số lượng dương
2. Tổng tiền và số lượng hiển thị không mâu thuẫn
3. Không lưu số lượng âm hoặc trạng thái sai</v>
      </c>
      <c r="E6" t="str">
        <v>Cart_AddProduct_02</v>
      </c>
      <c r="F6" t="str">
        <v>PASSED</v>
      </c>
      <c r="G6" t="str">
        <v>2026-10-30</v>
      </c>
      <c r="H6" t="str">
        <v>Giá trị biên của số lượng; ghi nhận hành vi cấu hình thực tế.</v>
      </c>
      <c r="I6" t="str" xml:space="preserve">
        <v xml:space="preserve">Quantity=0 được xử lý; rowExists=false; quantityAfter=0; nativeInvalid=false.
Test date: 2026-10-30</v>
      </c>
    </row>
    <row r="7" ht="124.2" customHeight="1" xml:space="preserve">
      <c r="A7" t="str">
        <v>Cart_UpdateQtyInvalid_06</v>
      </c>
      <c r="B7" t="str">
        <v>Kiểm tra nhập số lượng không hợp lệ (chữ, số âm, số thập phân)</v>
      </c>
      <c r="C7" t="str" xml:space="preserve">
        <v xml:space="preserve">Pre-condition:
+ Truy cập URL https://demo.mahocommerce.com/default/; chỉ thao tác trên phần Storefront. Sử dụng sản phẩm có sẵn hàng và dữ liệu test; không dùng phương thức thanh toán thật.
Step:
1. Mở Cart có một sản phẩm
2. Thử nhập lần lượt 'abc', '-1' và '1.5' vào Qty
3. Thực hiện cập nhật sau mỗi dữ liệu</v>
      </c>
      <c r="D7" t="str" xml:space="preserve">
        <v xml:space="preserve">1. Dữ liệu không hợp lệ bị chặn hoặc nhận validation
2. Số lượng sau cập nhật vẫn là giá trị hợp lệ
3. Không phát sinh lỗi trang</v>
      </c>
      <c r="E7" t="str">
        <v>Cart_AddProduct_02</v>
      </c>
      <c r="F7" t="str">
        <v>PASSED</v>
      </c>
      <c r="G7" t="str">
        <v>2026-10-30</v>
      </c>
      <c r="H7" t="str">
        <v>Bảng giá trị tương đương: dữ liệu không phải số nguyên dương.</v>
      </c>
      <c r="I7" t="str" xml:space="preserve">
        <v xml:space="preserve">Đã kiểm tra dữ liệu chữ/số âm/thập phân; observed=[{"input":"abc","acceptedValue":"abc","nativeInvalid":true},{"input":"-2","acceptedValue":"-2","nativeInvalid":true},{"input":"1.5","acceptedValue":"1.5","nativeInvalid":false}].
Test date: 2026-10-30</v>
      </c>
    </row>
    <row r="8" ht="110.40000000000002" customHeight="1" xml:space="preserve">
      <c r="A8" t="str">
        <v>Cart_RemoveItem_07</v>
      </c>
      <c r="B8" t="str">
        <v>Kiểm tra xóa một sản phẩm khỏi giỏ</v>
      </c>
      <c r="C8" t="str" xml:space="preserve">
        <v xml:space="preserve">Pre-condition:
+ Truy cập URL https://demo.mahocommerce.com/default/; chỉ thao tác trên phần Storefront. Sử dụng sản phẩm có sẵn hàng và dữ liệu test; không dùng phương thức thanh toán thật.
Step:
1. Thêm hai sản phẩm test vào giỏ
2. Chọn Remove/Delete trên một dòng hàng</v>
      </c>
      <c r="D8" t="str" xml:space="preserve">
        <v xml:space="preserve">1. Dòng hàng được xóa khỏi Cart
2. Sản phẩm còn lại không bị xóa
3. Subtotal và tổng giỏ hàng được cập nhật</v>
      </c>
      <c r="E8" t="str">
        <v>Cart_AddProduct_02</v>
      </c>
      <c r="F8" t="str">
        <v>PASSED</v>
      </c>
      <c r="G8" t="str">
        <v>2026-10-30</v>
      </c>
      <c r="H8" t="str">
        <v>Sử dụng hai sản phẩm khác nhau để dễ nhận diện.</v>
      </c>
      <c r="I8" t="str" xml:space="preserve">
        <v xml:space="preserve">Đã xóa Bib shorts; Harbour stripe tee vẫn còn trong Cart.
Test date: 2026-10-30</v>
      </c>
    </row>
    <row r="9" ht="124.2" customHeight="1" xml:space="preserve">
      <c r="A9" t="str">
        <v>Cart_SubtotalRecalculate_08</v>
      </c>
      <c r="B9" t="str">
        <v>Kiểm tra tính lại subtotal sau khi thay đổi số lượng</v>
      </c>
      <c r="C9" t="str" xml:space="preserve">
        <v xml:space="preserve">Pre-condition:
+ Truy cập URL https://demo.mahocommerce.com/default/; chỉ thao tác trên phần Storefront. Sử dụng sản phẩm có sẵn hàng và dữ liệu test; không dùng phương thức thanh toán thật.
Step:
1. Thêm sản phẩm có giá hiển thị rõ ràng vào Cart
2. Ghi nhận đơn giá và subtotal
3. Đổi số lượng sang một số nguyên dương khác rồi cập nhật</v>
      </c>
      <c r="D9" t="str" xml:space="preserve">
        <v xml:space="preserve">1. Subtotal dòng hàng bằng đơn giá × số lượng theo quy tắc làm tròn tiền tệ
2. Các tổng tiền liên quan được cập nhật nhất quán</v>
      </c>
      <c r="E9" t="str">
        <v>Cart_UpdateQtyValid_04</v>
      </c>
      <c r="F9" t="str">
        <v>PASSED</v>
      </c>
      <c r="G9" t="str">
        <v>2026-10-30</v>
      </c>
      <c r="H9" t="str">
        <v>Dùng sản phẩm không có tùy chọn tính giá phức tạp nếu có thể.</v>
      </c>
      <c r="I9" t="str" xml:space="preserve">
        <v xml:space="preserve">UnitPrice=140; Qty=2; Subtotal=280; Expected=280.00.
Test date: 2026-10-30</v>
      </c>
    </row>
    <row r="10" ht="110.40000000000002" customHeight="1" xml:space="preserve">
      <c r="A10" t="str">
        <v>Checkout_Open_09</v>
      </c>
      <c r="B10" t="str">
        <v>Kiểm tra chuyển từ giỏ hàng sang checkout</v>
      </c>
      <c r="C10" t="str" xml:space="preserve">
        <v xml:space="preserve">Pre-condition:
+ Truy cập URL https://demo.mahocommerce.com/default/; chỉ thao tác trên phần Storefront. Sử dụng sản phẩm có sẵn hàng và dữ liệu test; không dùng phương thức thanh toán thật.
Step:
1. Thêm một sản phẩm vào Cart
2. Chọn Proceed to Checkout</v>
      </c>
      <c r="D10" t="str" xml:space="preserve">
        <v xml:space="preserve">1. Trang checkout hiển thị đúng trạng thái giỏ hiện tại
2. Sản phẩm và số tiền không bị mất khi chuyển trang
3. Các phần thông tin giao hàng/thanh toán hiển thị theo cấu hình storefront</v>
      </c>
      <c r="E10" t="str">
        <v>Cart_AddProduct_02</v>
      </c>
      <c r="F10" t="str">
        <v>PASSED</v>
      </c>
      <c r="G10" t="str">
        <v>2026-10-30</v>
      </c>
      <c r="H10" t="str">
        <v>Không hoàn tất đặt hàng ở testcase này.</v>
      </c>
      <c r="I10" t="str" xml:space="preserve">
        <v xml:space="preserve">Proceed to Checkout mở thành công; URL=https://demo.mahocommerce.com/default/checkout/onepage/.
Test date: 2026-10-30</v>
      </c>
    </row>
    <row r="11" ht="124.2" customHeight="1" xml:space="preserve">
      <c r="A11" t="str">
        <v>Checkout_GuestFlow_10</v>
      </c>
      <c r="B11" t="str">
        <v>Kiểm tra luồng checkout đối với khách chưa đăng nhập</v>
      </c>
      <c r="C11" t="str" xml:space="preserve">
        <v xml:space="preserve">Pre-condition:
+ Truy cập URL https://demo.mahocommerce.com/default/; chỉ thao tác trên phần Storefront. Sử dụng sản phẩm có sẵn hàng và dữ liệu test; không dùng phương thức thanh toán thật.
Step:
1. Mở cửa sổ riêng tư hoặc đăng xuất
2. Thêm sản phẩm vào giỏ
3. Chọn Proceed to Checkout</v>
      </c>
      <c r="D11" t="str" xml:space="preserve">
        <v xml:space="preserve">1. Storefront hiển thị luồng checkout cho khách nếu được bật hoặc yêu cầu đăng nhập/tạo tài khoản nếu cấu hình bắt buộc
2. Không hiển thị lỗi 500 hoặc trang trắng
3. Giỏ hàng được giữ lại trong luồng bình thường</v>
      </c>
      <c r="E11" t="str">
        <v>Checkout_Open_09</v>
      </c>
      <c r="F11" t="str">
        <v>PASSED</v>
      </c>
      <c r="G11" t="str">
        <v>2026-10-30</v>
      </c>
      <c r="H11" t="str">
        <v>Kết quả phải được đối chiếu với quy tắc guest checkout hiện tại của demo.</v>
      </c>
      <c r="I11" t="str" xml:space="preserve">
        <v xml:space="preserve">Guest checkout behavior observed: guest checkout fields displayed; URL=https://demo.mahocommerce.com/default/checkout/onepage/.
Test date: 2026-10-30</v>
      </c>
    </row>
    <row r="12" ht="124.2" customHeight="1" xml:space="preserve">
      <c r="A12" t="str">
        <v>Checkout_EmailValidation_11</v>
      </c>
      <c r="B12" t="str">
        <v>Kiểm tra email bắt buộc và định dạng email tại checkout</v>
      </c>
      <c r="C12" t="str" xml:space="preserve">
        <v xml:space="preserve">Pre-condition:
+ Truy cập URL https://demo.mahocommerce.com/default/; chỉ thao tác trên phần Storefront. Sử dụng sản phẩm có sẵn hàng và dữ liệu test; không dùng phương thức thanh toán thật.
Step:
1. Mở checkout
2. Để trống email nếu trường hiển thị bắt buộc và thử tiếp tục
3. Nhập email sai định dạng như 'qa@' rồi tiếp tục</v>
      </c>
      <c r="D12" t="str" xml:space="preserve">
        <v xml:space="preserve">1. Không cho tiếp tục với email thiếu/sai định dạng khi validation được áp dụng
2. Thông báo gắn với trường email dễ nhận biết
3. Không tạo đơn hàng khi dữ liệu chưa hợp lệ</v>
      </c>
      <c r="E12" t="str">
        <v>Checkout_Open_09</v>
      </c>
      <c r="F12" t="str">
        <v>PASSED</v>
      </c>
      <c r="G12" t="str">
        <v>2026-10-30</v>
      </c>
      <c r="H12" t="str">
        <v>Chỉ dùng email test, không dùng dữ liệu cá nhân thật.</v>
      </c>
      <c r="I12" t="str" xml:space="preserve">
        <v xml:space="preserve">Email validation observed; emptyInvalid=true; invalidFormat=true; original restored.
Test date: 2026-10-30</v>
      </c>
    </row>
    <row r="13" ht="124.2" customHeight="1" xml:space="preserve">
      <c r="A13" t="str">
        <v>Checkout_AddressRequired_12</v>
      </c>
      <c r="B13" t="str">
        <v>Kiểm tra các trường địa chỉ giao hàng bắt buộc tại checkout</v>
      </c>
      <c r="C13" t="str" xml:space="preserve">
        <v xml:space="preserve">Pre-condition:
+ Truy cập URL https://demo.mahocommerce.com/default/; chỉ thao tác trên phần Storefront. Sử dụng sản phẩm có sẵn hàng và dữ liệu test; không dùng phương thức thanh toán thật.
Step:
1. Mở checkout và chọn nhập địa chỉ mới
2. Bỏ trống lần lượt các trường được đánh dấu bắt buộc
3. Nhấn Continue/Place Order theo bước hiện có</v>
      </c>
      <c r="D13" t="str" xml:space="preserve">
        <v xml:space="preserve">1. Checkout không chuyển sang bước tiếp theo hoặc không tạo đơn khi thiếu trường bắt buộc
2. Các trường thiếu dữ liệu được đánh dấu bằng thông báo phù hợp</v>
      </c>
      <c r="E13" t="str">
        <v>Checkout_Open_09</v>
      </c>
      <c r="F13" t="str">
        <v>PASSED</v>
      </c>
      <c r="G13" t="str">
        <v>2026-10-30</v>
      </c>
      <c r="H13" t="str">
        <v>Trường bắt buộc phụ thuộc quốc gia và cấu hình storefront.</v>
      </c>
      <c r="I13" t="str" xml:space="preserve">
        <v xml:space="preserve">Checkout address validation: 3/3 empty fields are marked required by the storefront.
Test date: 2026-10-30</v>
      </c>
    </row>
    <row r="14" ht="124.2" customHeight="1" xml:space="preserve">
      <c r="A14" t="str">
        <v>Checkout_PhoneInvalid_13</v>
      </c>
      <c r="B14" t="str">
        <v>Kiểm tra validation số điện thoại tại checkout</v>
      </c>
      <c r="C14" t="str" xml:space="preserve">
        <v xml:space="preserve">Pre-condition:
+ Truy cập URL https://demo.mahocommerce.com/default/; chỉ thao tác trên phần Storefront. Sử dụng sản phẩm có sẵn hàng và dữ liệu test; không dùng phương thức thanh toán thật.
Step:
1. Mở form địa chỉ checkout
2. Nhập chữ hoặc chuỗi ký tự không phải số điện thoại vào Phone
3. Điền trường còn lại hợp lệ và tiếp tục</v>
      </c>
      <c r="D14" t="str" xml:space="preserve">
        <v xml:space="preserve">1. Nếu Phone có kiểm tra định dạng, hiển thị lỗi và không cho tiếp tục
2. Không mất dữ liệu hợp lệ đã nhập ở các trường khác</v>
      </c>
      <c r="E14" t="str">
        <v>Checkout_AddressRequired_12</v>
      </c>
      <c r="F14" t="str">
        <v>PASSED</v>
      </c>
      <c r="G14" t="str">
        <v>2026-10-30</v>
      </c>
      <c r="H14" t="str">
        <v>Dùng phân vùng tương đương số điện thoại hợp lệ/không hợp lệ.</v>
      </c>
      <c r="I14" t="str" xml:space="preserve">
        <v xml:space="preserve">Telephone trống được storefront đánh dấu là trường bắt buộc.
Test date: 2026-10-30</v>
      </c>
    </row>
    <row r="15" ht="124.2" customHeight="1" xml:space="preserve">
      <c r="A15" t="str">
        <v>Checkout_PostalValid_14</v>
      </c>
      <c r="B15" t="str">
        <v>Kiểm tra checkout chấp nhận postal code đúng định dạng</v>
      </c>
      <c r="C15" t="str" xml:space="preserve">
        <v xml:space="preserve">Pre-condition:
+ Truy cập URL https://demo.mahocommerce.com/default/; chỉ thao tác trên phần Storefront. Sử dụng sản phẩm có sẵn hàng và dữ liệu test; không dùng phương thức thanh toán thật.
Step:
1. Mở checkout
2. Chọn quốc gia và nhập postal code hợp lệ theo quốc gia
3. Điền những trường bắt buộc còn lại và tiếp tục</v>
      </c>
      <c r="D15" t="str" xml:space="preserve">
        <v xml:space="preserve">1. Postal code hợp lệ được chấp nhận
2. Địa chỉ giao hàng được giữ lại ở bước kế tiếp</v>
      </c>
      <c r="E15" t="str">
        <v>Checkout_AddressRequired_12</v>
      </c>
      <c r="F15" t="str">
        <v>PASSED</v>
      </c>
      <c r="G15" t="str">
        <v>2026-10-30</v>
      </c>
      <c r="H15" t="str">
        <v>Chọn test data khớp với quốc gia đã chọn.</v>
      </c>
      <c r="I15" t="str" xml:space="preserve">
        <v xml:space="preserve">Postal Code 90210 không bị frontend validation từ chối với country đã chọn.
Test date: 2026-10-30</v>
      </c>
    </row>
    <row r="16" ht="124.2" customHeight="1" xml:space="preserve">
      <c r="A16" t="str">
        <v>Checkout_PostalInvalid_15</v>
      </c>
      <c r="B16" t="str">
        <v>Kiểm tra checkout với postal code sai định dạng</v>
      </c>
      <c r="C16" t="str" xml:space="preserve">
        <v xml:space="preserve">Pre-condition:
+ Truy cập URL https://demo.mahocommerce.com/default/; chỉ thao tác trên phần Storefront. Sử dụng sản phẩm có sẵn hàng và dữ liệu test; không dùng phương thức thanh toán thật.
Step:
1. Mở checkout
2. Chọn quốc gia có quy tắc postal code xác định
3. Nhập postal code sai định dạng và tiếp tục</v>
      </c>
      <c r="D16" t="str" xml:space="preserve">
        <v xml:space="preserve">1. Khi kiểm tra định dạng được bật, trường postal code báo lỗi và checkout không tiếp tục
2. Nếu hệ thống chỉ kiểm tra bắt buộc, ghi nhận đúng hành vi thực tế để đối chiếu yêu cầu</v>
      </c>
      <c r="E16" t="str">
        <v>Checkout_AddressRequired_12</v>
      </c>
      <c r="F16" t="str">
        <v>PASSED</v>
      </c>
      <c r="G16" t="str">
        <v>2026-10-30</v>
      </c>
      <c r="H16" t="str">
        <v>Không giả định mọi quốc gia có cùng quy tắc postal code.</v>
      </c>
      <c r="I16" t="str" xml:space="preserve">
        <v xml:space="preserve">Postal Code không hợp lệ đã bị storefront đánh dấu từ chối.
Test date: 2026-10-30</v>
      </c>
    </row>
    <row r="17" ht="124.2" customHeight="1" xml:space="preserve">
      <c r="A17" t="str">
        <v>Checkout_ShippingMethod_16</v>
      </c>
      <c r="B17" t="str">
        <v>Kiểm tra lựa chọn phương thức giao hàng</v>
      </c>
      <c r="C17" t="str" xml:space="preserve">
        <v xml:space="preserve">Pre-condition:
+ Truy cập URL https://demo.mahocommerce.com/default/; chỉ thao tác trên phần Storefront. Sử dụng sản phẩm có sẵn hàng và dữ liệu test; không dùng phương thức thanh toán thật.
Step:
1. Mở checkout với địa chỉ giao hàng hợp lệ
2. Quan sát danh sách shipping methods
3. Chọn một phương thức có sẵn và tiếp tục</v>
      </c>
      <c r="D17" t="str" xml:space="preserve">
        <v xml:space="preserve">1. Các phương thức khả dụng được hiển thị theo địa chỉ
2. Phương thức được chọn thể hiện trạng thái đã chọn
3. Phí giao hàng và tổng tiền cập nhật đúng nếu có phí</v>
      </c>
      <c r="E17" t="str">
        <v>Checkout_AddressRequired_12</v>
      </c>
      <c r="F17" t="str">
        <v>PASSED</v>
      </c>
      <c r="G17" t="str">
        <v>2026-10-30</v>
      </c>
      <c r="H17" t="str">
        <v>Kiểm tra trạng thái phương thức giao hàng theo địa chỉ test.</v>
      </c>
      <c r="I17" t="str" xml:space="preserve">
        <v xml:space="preserve">Đã chọn phương thức vận chuyển; value=1.
Test date: 2026-10-30</v>
      </c>
    </row>
    <row r="18" ht="124.2" customHeight="1" xml:space="preserve">
      <c r="A18" t="str">
        <v>Checkout_PaymentMethod_17</v>
      </c>
      <c r="B18" t="str">
        <v>Kiểm tra lựa chọn phương thức thanh toán trên storefront</v>
      </c>
      <c r="C18" t="str" xml:space="preserve">
        <v xml:space="preserve">Pre-condition:
+ Truy cập URL https://demo.mahocommerce.com/default/; chỉ thao tác trên phần Storefront. Sử dụng sản phẩm có sẵn hàng và dữ liệu test; không dùng phương thức thanh toán thật.
Step:
1. Tiếp tục checkout đến bước Payment
2. Quan sát các phương thức được cung cấp
3. Chọn một phương thức demo/test khả dụng</v>
      </c>
      <c r="D18" t="str" xml:space="preserve">
        <v xml:space="preserve">1. Phương thức đã chọn được đánh dấu rõ ràng
2. Không chuyển hướng sang cổng thanh toán ngoài dự kiến
3. Không nhập thông tin thẻ hoặc dữ liệu thanh toán thật</v>
      </c>
      <c r="E18" t="str">
        <v>Checkout_ShippingMethod_16</v>
      </c>
      <c r="F18" t="str">
        <v>BLOCKED</v>
      </c>
      <c r="G18" t="str">
        <v>2026-10-30</v>
      </c>
      <c r="H18" t="str">
        <v>Chỉ chọn phương thức kiểm thử không phát sinh thanh toán thật.</v>
      </c>
      <c r="I18" t="str" xml:space="preserve">
        <v xml:space="preserve">BLOCKED — Checkout_PaymentMethod_17: BLOCKED: Không có phương thức thanh toán offline/test hiển thị trên Storefront.; URL=https://demo.mahocommerce.com/default/checkout/onepage/; UI=Skip to main content
Demo store. Orders are not processed. Next reset in 1h 40m 13s. Switch store
Checkout
Have an account?
Login
Register
Billing Address
Billing Information
Billing Address
First Name
Last Name
Company
Email Address
Country
Afghanistan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Cayman Islands
Central African Republic
C
Test date: 2026-10-30</v>
      </c>
    </row>
    <row r="19" ht="124.2" customHeight="1" xml:space="preserve">
      <c r="A19" t="str">
        <v>Checkout_SubmitMissing_18</v>
      </c>
      <c r="B19" t="str">
        <v>Kiểm tra không tạo đơn khi checkout thiếu dữ liệu bắt buộc</v>
      </c>
      <c r="C19" t="str" xml:space="preserve">
        <v xml:space="preserve">Pre-condition:
+ Truy cập URL https://demo.mahocommerce.com/default/; chỉ thao tác trên phần Storefront. Sử dụng sản phẩm có sẵn hàng và dữ liệu test; không dùng phương thức thanh toán thật.
Step:
1. Mở checkout với một sản phẩm trong giỏ
2. Để thiếu ít nhất một trường bắt buộc hoặc chưa chọn phương thức cần thiết
3. Thử tiếp tục/đặt hàng</v>
      </c>
      <c r="D19" t="str" xml:space="preserve">
        <v xml:space="preserve">1. Đơn hàng không được tạo
2. Checkout chỉ rõ thông tin cần bổ sung
3. Giỏ hàng vẫn giữ nguyên để người dùng sửa dữ liệu</v>
      </c>
      <c r="E19" t="str">
        <v>Checkout_Open_09</v>
      </c>
      <c r="F19" t="str">
        <v>PASSED</v>
      </c>
      <c r="G19" t="str">
        <v>2026-10-30</v>
      </c>
      <c r="H19" t="str">
        <v>Không cố tình gửi request ngoài UI; dùng thao tác trên trang.</v>
      </c>
      <c r="I19" t="str" xml:space="preserve">
        <v xml:space="preserve">Email bắt buộc được để trống; checkout không báo hoàn tất đơn; URL=https://demo.mahocommerce.com/default/checkout/onepage/.
Test date: 2026-10-30</v>
      </c>
    </row>
    <row r="20" ht="151.8" customHeight="1" xml:space="preserve">
      <c r="A20" t="str">
        <v>Order_PlaceValid_19</v>
      </c>
      <c r="B20" t="str">
        <v>Kiểm tra đặt một đơn hàng test với dữ liệu hợp lệ</v>
      </c>
      <c r="C20" t="str" xml:space="preserve">
        <v xml:space="preserve">Pre-condition:
+ Truy cập URL https://demo.mahocommerce.com/default/; chỉ thao tác trên phần Storefront. Sử dụng sản phẩm có sẵn hàng và dữ liệu test; không dùng phương thức thanh toán thật.
Step:
1. Dùng tài khoản và địa chỉ test hoặc guest checkout theo cấu hình
2. Thêm sản phẩm có sẵn hàng vào Cart
3. Hoàn tất các trường checkout
4. Chọn phương thức demo không phát sinh khoản thanh toán thật
5. Xác nhận Place Order một lần</v>
      </c>
      <c r="D20" t="str" xml:space="preserve">
        <v xml:space="preserve">1. Trang xác nhận đơn hàng hiển thị sau khi hệ thống nhận đơn
2. Giỏ hàng được chuyển sang trạng thái đã đặt theo quy tắc storefront
3. Không xuất hiện lỗi hoặc thông báo thất bại</v>
      </c>
      <c r="E20" t="str">
        <v>Checkout_PaymentMethod_17</v>
      </c>
      <c r="F20" t="str">
        <v>BLOCKED</v>
      </c>
      <c r="G20" t="str">
        <v>2026-10-30</v>
      </c>
      <c r="H20" t="str">
        <v>Chỉ chạy trên demo được phép thử; dừng nếu chỉ có phương thức thanh toán thật.</v>
      </c>
      <c r="I20" t="str" xml:space="preserve">
        <v xml:space="preserve">BLOCKED — Order_PlaceValid_19: BLOCKED: Tạo đơn đang khóa. Chỉ bật ALLOW_DEMO_ORDER_CREATION=true sau khi xác nhận demo cho phép đặt đơn và có payment test/offline.; URL=https://demo.mahocommerce.com/default/customer/account/; UI=Skip to main content
Demo store. Orders are not processed. Next reset in 2h 41m 32s.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row r="21" ht="110.40000000000002" customHeight="1" xml:space="preserve">
      <c r="A21" t="str">
        <v>Order_ReferenceDisplayed_20</v>
      </c>
      <c r="B21" t="str">
        <v>Kiểm tra mã đơn hàng hiển thị sau khi đặt hàng thành công</v>
      </c>
      <c r="C21" t="str" xml:space="preserve">
        <v xml:space="preserve">Pre-condition:
+ Truy cập URL https://demo.mahocommerce.com/default/; chỉ thao tác trên phần Storefront. Sử dụng sản phẩm có sẵn hàng và dữ liệu test; không dùng phương thức thanh toán thật.
Step:
1. Hoàn thành một đơn hàng test thành công
2. Ghi nhận mã/reference hiển thị ở trang xác nhận</v>
      </c>
      <c r="D21" t="str" xml:space="preserve">
        <v xml:space="preserve">1. Mã đơn hàng được hiển thị rõ ràng và không rỗng
2. Mã có thể được sao chép/ghi nhận để tra cứu trên giao diện tài khoản</v>
      </c>
      <c r="E21" t="str">
        <v>Order_PlaceValid_19</v>
      </c>
      <c r="F21" t="str">
        <v>BLOCKED</v>
      </c>
      <c r="G21" t="str">
        <v>2026-10-30</v>
      </c>
      <c r="H21" t="str">
        <v>Phụ thuộc đơn hàng test thành công.</v>
      </c>
      <c r="I21" t="str" xml:space="preserve">
        <v xml:space="preserve">BLOCKED — Order_ReferenceDisplayed_20: BLOCKED: Chưa có Order_PlaceValid_19 thành công trong run hiện tại.; URL=https://demo.mahocommerce.com/default/customer/account/; UI=Skip to main content
Demo store. Orders are not processed. Next reset in 2h 41m 28s.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row r="22" ht="124.2" customHeight="1" xml:space="preserve">
      <c r="A22" t="str">
        <v>Order_NumberUnique_21</v>
      </c>
      <c r="B22" t="str">
        <v>Kiểm tra mã đơn hàng khác nhau giữa hai đơn độc lập</v>
      </c>
      <c r="C22" t="str" xml:space="preserve">
        <v xml:space="preserve">Pre-condition:
+ Truy cập URL https://demo.mahocommerce.com/default/; chỉ thao tác trên phần Storefront. Sử dụng sản phẩm có sẵn hàng và dữ liệu test; không dùng phương thức thanh toán thật.
Step:
1. Đặt một đơn hàng test thành công và ghi nhận mã A
2. Tạo giỏ hàng mới và đặt đơn test thứ hai hợp lệ
3. Ghi nhận mã B</v>
      </c>
      <c r="D22" t="str" xml:space="preserve">
        <v xml:space="preserve">1. Mã A và mã B khác nhau
2. Mỗi mã gắn với đúng trang xác nhận hoặc chi tiết đơn tương ứng</v>
      </c>
      <c r="E22" t="str">
        <v>Order_PlaceValid_19</v>
      </c>
      <c r="F22" t="str">
        <v>BLOCKED</v>
      </c>
      <c r="G22" t="str">
        <v>2026-10-30</v>
      </c>
      <c r="H22" t="str">
        <v>Tạo hai đơn demo chỉ khi chính sách lớp học cho phép; tránh đặt nhiều đơn không cần thiết.</v>
      </c>
      <c r="I22" t="str" xml:space="preserve">
        <v xml:space="preserve">BLOCKED — Order_NumberUnique_21: BLOCKED: Chưa có đơn thứ nhất.; URL=https://demo.mahocommerce.com/default/customer/account/; UI=Skip to main content
Demo store. Orders are not processed. Next reset in 2h 41m 25s.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row r="23" ht="138" customHeight="1" xml:space="preserve">
      <c r="A23" t="str">
        <v>Order_DoubleSubmit_22</v>
      </c>
      <c r="B23" t="str">
        <v>Kiểm tra chống tạo đơn trùng khi nhấn Place Order nhiều lần nhanh</v>
      </c>
      <c r="C23" t="str" xml:space="preserve">
        <v xml:space="preserve">Pre-condition:
+ Truy cập URL https://demo.mahocommerce.com/default/; chỉ thao tác trên phần Storefront. Sử dụng sản phẩm có sẵn hàng và dữ liệu test; không dùng phương thức thanh toán thật.
Step:
1. Chuẩn bị checkout hợp lệ với dữ liệu test
2. Nhấn Place Order một lần; trong khi trang đang xử lý, thử nhấn lại nếu UI cho phép
3. Kiểm tra trang xác nhận và lịch sử đơn hàng</v>
      </c>
      <c r="D23" t="str" xml:space="preserve">
        <v xml:space="preserve">1. Một thao tác checkout chỉ tạo một đơn hàng
2. Nút đặt hàng được khóa hoặc hệ thống xử lý chống gửi trùng
3. Không phát sinh hai mã đơn cho cùng một lần xác nhận</v>
      </c>
      <c r="E23" t="str">
        <v>Order_PlaceValid_19</v>
      </c>
      <c r="F23" t="str">
        <v>BLOCKED</v>
      </c>
      <c r="G23" t="str">
        <v>2026-10-30</v>
      </c>
      <c r="H23" t="str">
        <v>Chỉ thực hiện trên demo và kiểm tra qua UI; không dùng công cụ gửi request trực tiếp.</v>
      </c>
      <c r="I23" t="str" xml:space="preserve">
        <v xml:space="preserve">BLOCKED — Order_DoubleSubmit_22: BLOCKED: Tạo đơn bị khóa; chỉ thực hiện trên demo được phép và payment test/offline.; URL=https://demo.mahocommerce.com/default/customer/account/; UI=Skip to main content
Demo store. Orders are not processed. Next reset in 2h 41m 22s.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row r="24" ht="124.2" customHeight="1" xml:space="preserve">
      <c r="A24" t="str">
        <v>Order_ConfirmationRefresh_23</v>
      </c>
      <c r="B24" t="str">
        <v>Kiểm tra tải lại trang xác nhận không tạo thêm đơn hàng</v>
      </c>
      <c r="C24" t="str" xml:space="preserve">
        <v xml:space="preserve">Pre-condition:
+ Truy cập URL https://demo.mahocommerce.com/default/; chỉ thao tác trên phần Storefront. Sử dụng sản phẩm có sẵn hàng và dữ liệu test; không dùng phương thức thanh toán thật.
Step:
1. Sau khi đặt đơn thành công, ghi lại mã đơn
2. Tải lại trang xác nhận nếu trình duyệt cho phép
3. Kiểm tra thông báo và mã đơn hiển thị</v>
      </c>
      <c r="D24" t="str" xml:space="preserve">
        <v xml:space="preserve">1. Mã đơn/reference vẫn đúng hoặc storefront yêu cầu điều hướng an toàn tới trang xác nhận
2. Không tạo đơn mới chỉ vì refresh
3. Không hiển thị lỗi mất kiểm soát</v>
      </c>
      <c r="E24" t="str">
        <v>Order_ReferenceDisplayed_20</v>
      </c>
      <c r="F24" t="str">
        <v>BLOCKED</v>
      </c>
      <c r="G24" t="str">
        <v>2026-10-30</v>
      </c>
      <c r="H24" t="str">
        <v>Nếu hệ thống cảnh báo gửi lại form, không xác nhận lại đơn; quan sát và dừng.</v>
      </c>
      <c r="I24" t="str" xml:space="preserve">
        <v xml:space="preserve">BLOCKED — Order_ConfirmationRefresh_23: BLOCKED: Chưa có confirmation URL/order reference.; URL=https://demo.mahocommerce.com/default/customer/account/; UI=Skip to main content
Demo store. Orders are not processed. Next reset in 2h 41m 18s.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row r="25" ht="124.2" customHeight="1" xml:space="preserve">
      <c r="A25" t="str">
        <v>Order_ConfirmationEmail_24</v>
      </c>
      <c r="B25" t="str">
        <v>Kiểm tra email xác nhận đơn hàng gửi tới email test</v>
      </c>
      <c r="C25" t="str" xml:space="preserve">
        <v xml:space="preserve">Pre-condition:
+ Truy cập URL https://demo.mahocommerce.com/default/; chỉ thao tác trên phần Storefront. Sử dụng sản phẩm có sẵn hàng và dữ liệu test; không dùng phương thức thanh toán thật.
Step:
1. Đặt đơn bằng địa chỉ email test có thể truy cập
2. Mở hộp thư test sau khi hoàn tất đặt hàng
3. Tìm email xác nhận tương ứng với mã đơn</v>
      </c>
      <c r="D25" t="str" xml:space="preserve">
        <v xml:space="preserve">1. Email xác nhận được nhận trong thời hạn hệ thống quy định
2. Email có mã đơn, thông tin cơ bản và tổng tiền khớp trang xác nhận
3. Nếu không có hộp thư test hoặc email bị tắt ở demo, đánh dấu BLOCKED thay vì kết luận FAIL</v>
      </c>
      <c r="E25" t="str">
        <v>Order_PlaceValid_19</v>
      </c>
      <c r="F25" t="str">
        <v>BLOCKED</v>
      </c>
      <c r="G25" t="str">
        <v>2026-10-30</v>
      </c>
      <c r="H25" t="str">
        <v>Không thể kết luận chỉ bằng giao diện storefront nếu không có quyền truy cập hộp thư test.</v>
      </c>
      <c r="I25" t="str" xml:space="preserve">
        <v xml:space="preserve">BLOCKED — Order_ConfirmationEmail_24: BLOCKED: Chưa có đơn đặt thành công.; URL=https://demo.mahocommerce.com/default/customer/account/; UI=Skip to main content
Demo store. Orders are not processed. Next reset in 2h 41m 15s.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row r="26" ht="124.2" customHeight="1" xml:space="preserve">
      <c r="A26" t="str">
        <v>Order_HistoryVisible_25</v>
      </c>
      <c r="B26" t="str">
        <v>Kiểm tra đơn hàng mới xuất hiện trong lịch sử mua hàng</v>
      </c>
      <c r="C26" t="str" xml:space="preserve">
        <v xml:space="preserve">Pre-condition:
+ Truy cập URL https://demo.mahocommerce.com/default/; chỉ thao tác trên phần Storefront. Sử dụng sản phẩm có sẵn hàng và dữ liệu test; không dùng phương thức thanh toán thật.
Step:
1. Đặt đơn khi đã đăng nhập tài khoản test
2. Mở My Account &gt; My Orders/Order History
3. Tìm đơn vừa đặt bằng mã đơn hoặc thông tin sản phẩm</v>
      </c>
      <c r="D26" t="str" xml:space="preserve">
        <v xml:space="preserve">1. Đơn mới xuất hiện trong lịch sử của đúng tài khoản
2. Mã đơn, ngày đặt và tổng tiền khớp trang xác nhận
3. Không hiển thị đơn của tài khoản khác</v>
      </c>
      <c r="E26" t="str">
        <v>Order_ReferenceDisplayed_20</v>
      </c>
      <c r="F26" t="str">
        <v>BLOCKED</v>
      </c>
      <c r="G26" t="str">
        <v>2026-10-30</v>
      </c>
      <c r="H26" t="str">
        <v>Cần đăng nhập bằng cùng tài khoản đã đặt hàng.</v>
      </c>
      <c r="I26" t="str" xml:space="preserve">
        <v xml:space="preserve">BLOCKED — Order_HistoryVisible_25: BLOCKED: Chưa có order number thành công trong run hiện tại.; URL=https://demo.mahocommerce.com/default/customer/account/; UI=Skip to main content
Demo store. Orders are not processed. Next reset in 2h 41m 12s.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row r="27" ht="124.2" customHeight="1" xml:space="preserve">
      <c r="A27" t="str">
        <v>Invoice_AccessFromOrder_26</v>
      </c>
      <c r="B27" t="str">
        <v>Kiểm tra xem thông tin hóa đơn từ chi tiết đơn hàng trên storefront</v>
      </c>
      <c r="C27" t="str" xml:space="preserve">
        <v xml:space="preserve">Pre-condition:
+ Truy cập URL https://demo.mahocommerce.com/default/; chỉ thao tác trên phần Storefront. Sử dụng sản phẩm có sẵn hàng và dữ liệu test; không dùng phương thức thanh toán thật.
Step:
1. Đăng nhập tài khoản test đã có đơn hàng
2. Mở My Orders và chọn View Order cho đơn test
3. Quan sát phần invoice/document/print invoice nếu được cung cấp</v>
      </c>
      <c r="D27" t="str" xml:space="preserve">
        <v xml:space="preserve">1. Nếu hóa đơn đã được tạo và storefront cung cấp liên kết, trang/tệp hóa đơn mở được và thông tin đơn khớp
2. Nếu trạng thái đơn chưa có hóa đơn hoặc demo không cung cấp mục này, ghi BLOCKED/Not Applicable theo bằng chứng giao diện; không truy cập admin/backend</v>
      </c>
      <c r="E27" t="str">
        <v>Order_HistoryVisible_25</v>
      </c>
      <c r="F27" t="str">
        <v>BLOCKED</v>
      </c>
      <c r="G27" t="str">
        <v>2026-10-30</v>
      </c>
      <c r="H27" t="str">
        <v>Việc sinh hóa đơn phụ thuộc trạng thái đơn và cấu hình demo; kiểm tra hoàn toàn qua storefront.</v>
      </c>
      <c r="I27" t="str" xml:space="preserve">
        <v xml:space="preserve">BLOCKED — Invoice_AccessFromOrder_26: BLOCKED: Chưa có đơn test để kiểm tra hóa đơn.; URL=https://demo.mahocommerce.com/default/customer/account/; UI=Skip to main content
Demo store. Orders are not processed. Next reset in 2h 41m 9s. Switch store
Search:
Your Language:
English
Français
Deutsch
Italiano
Account
Wishlist
Cart
Fashion
Electronics
Food
Books
Jewelry
Beauty
Home
Sports
Kids
Garden
MY ACCOUNT
Account Dashboard
Account Information
Address Book
My Orders
My Wishlist
Newsletter
Gift Card Balance
Logout
My Dashboard
Hello, Vu Phong!
From your My Account Dashboard you have the ability to view a snapshot of your recent account activity and update your account information. Select a link below to view or edit information.
Missing an order?
Orders you placed as a guest with this email address are not listed here.
Add guest orders 
Test date: 2026-10-30</v>
      </c>
    </row>
  </sheetData>
  <pageMargins left="0.7" right="0.7" top="0.75" bottom="0.75" header="0.3" footer="0.3"/>
  <ignoredErrors>
    <ignoredError numberStoredAsText="1" sqref="A1:I2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Dashboard</vt:lpstr>
      <vt:lpstr>Search</vt:lpstr>
      <vt:lpstr>Profile</vt:lpstr>
      <vt:lpstr>Order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2026-10-30T11:13:43Z</dcterms:created>
  <dcterms:modified xsi:type="dcterms:W3CDTF">2026-10-30T11:16:02Z</dcterms:modified>
  <cp:lastModifiedBy>Phong Vũ Châu Hoài</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6892EF53107D4965AF2D194DBB7971AC_12</vt:lpwstr>
  </property>
  <property fmtid="{D5CDD505-2E9C-101B-9397-08002B2CF9AE}" pid="3" name="KSOProductBuildVer">
    <vt:lpwstr>1033-12.1.0.29162</vt:lpwstr>
  </property>
  <property fmtid="{D5CDD505-2E9C-101B-9397-08002B2CF9AE}" pid="4" name="CalculationRule">
    <vt:i4>0</vt:i4>
  </property>
</Properties>
</file>