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tables/table2.xml" ContentType="application/vnd.openxmlformats-officedocument.spreadsheetml.table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thiet\IdeaProjects\group02-mahocommerce-testing\"/>
    </mc:Choice>
  </mc:AlternateContent>
  <xr:revisionPtr revIDLastSave="0" documentId="13_ncr:1_{C4A924E9-7B0E-4202-B144-5F7F7ACD7112}" xr6:coauthVersionLast="47" xr6:coauthVersionMax="47" xr10:uidLastSave="{00000000-0000-0000-0000-000000000000}"/>
  <bookViews>
    <workbookView xWindow="-108" yWindow="-108" windowWidth="23256" windowHeight="12456" tabRatio="776" activeTab="6" xr2:uid="{00000000-000D-0000-FFFF-FFFF00000000}"/>
  </bookViews>
  <sheets>
    <sheet name="Cover" sheetId="1" r:id="rId1"/>
    <sheet name="Test case List" sheetId="2" r:id="rId2"/>
    <sheet name="Test Design" sheetId="9" r:id="rId3"/>
    <sheet name="Registration" sheetId="10" r:id="rId4"/>
    <sheet name="Promotion" sheetId="12" r:id="rId5"/>
    <sheet name="Sheet1" sheetId="11" r:id="rId6"/>
    <sheet name="Test Report" sheetId="8" r:id="rId7"/>
  </sheets>
  <definedNames>
    <definedName name="_xlnm._FilterDatabase" localSheetId="2" hidden="1">'Test Design'!$A$1:$F$1</definedName>
    <definedName name="_Toc301930468" localSheetId="2">'Test Design'!#REF!</definedName>
    <definedName name="_Toc301930478" localSheetId="2">'Test Design'!#REF!</definedName>
    <definedName name="ACTION">#REF!</definedName>
    <definedName name="LOCAL_DATE_SEPARATOR">#REF!</definedName>
    <definedName name="LOCAL_DAY_FORMAT">#REF!</definedName>
    <definedName name="LOCAL_HOUR_FORMAT">#REF!</definedName>
    <definedName name="LOCAL_MINUTE_FORMAT">#REF!</definedName>
    <definedName name="LOCAL_MONTH_FORMAT">#REF!</definedName>
    <definedName name="LOCAL_SECOND_FORMAT">#REF!</definedName>
    <definedName name="LOCAL_TIME_SEPARATOR">#REF!</definedName>
    <definedName name="LOCAL_YEAR_FORMA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2" roundtripDataSignature="AMtx7miJxXulxHjXBfT/kUfWOsP3NjNe0w=="/>
    </ext>
  </extLst>
</workbook>
</file>

<file path=xl/calcChain.xml><?xml version="1.0" encoding="utf-8"?>
<calcChain xmlns="http://schemas.openxmlformats.org/spreadsheetml/2006/main">
  <c r="F6" i="12" l="1"/>
  <c r="E6" i="12"/>
  <c r="D6" i="12"/>
  <c r="B6" i="12"/>
  <c r="A6" i="12"/>
  <c r="C11" i="8" a="1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17" i="10"/>
  <c r="A16" i="10"/>
  <c r="A15" i="10"/>
  <c r="A14" i="10"/>
  <c r="A13" i="10"/>
  <c r="A12" i="10"/>
  <c r="A11" i="10"/>
  <c r="A10" i="10"/>
  <c r="A9" i="10"/>
  <c r="E6" i="10"/>
  <c r="D6" i="10"/>
  <c r="B6" i="10"/>
  <c r="A6" i="10"/>
  <c r="C13" i="8"/>
  <c r="C12" i="8"/>
  <c r="C4" i="8"/>
  <c r="C5" i="8" s="1"/>
  <c r="C3" i="8"/>
  <c r="H13" i="8"/>
  <c r="G13" i="8"/>
  <c r="E13" i="8"/>
  <c r="D13" i="8"/>
  <c r="H12" i="8"/>
  <c r="G12" i="8"/>
  <c r="E12" i="8"/>
  <c r="D12" i="8"/>
  <c r="H11" i="8"/>
  <c r="G11" i="8"/>
  <c r="G15" i="8" s="1"/>
  <c r="E11" i="8"/>
  <c r="E15" i="8" s="1"/>
  <c r="D11" i="8"/>
  <c r="D15" i="8" s="1"/>
  <c r="D4" i="2"/>
  <c r="D3" i="2"/>
  <c r="C6" i="1"/>
  <c r="C6" i="12" l="1"/>
  <c r="F6" i="10"/>
  <c r="C6" i="10" s="1"/>
  <c r="E18" i="8"/>
  <c r="I13" i="8"/>
  <c r="F13" i="8"/>
  <c r="F11" i="8"/>
  <c r="F15" i="8" s="1"/>
  <c r="I11" i="8"/>
  <c r="I15" i="8" s="1"/>
  <c r="E17" i="8" s="1"/>
  <c r="F12" i="8"/>
  <c r="I12" i="8"/>
  <c r="H15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11" authorId="0" shapeId="0" xr:uid="{00000000-0006-0000-0000-000001000000}">
      <text>
        <r>
          <rPr>
            <sz val="11"/>
            <color rgb="FF000000"/>
            <rFont val="Calibri"/>
            <scheme val="minor"/>
          </rPr>
          <t>======
ID#AAAAHWfBFzA
    (2020-11-28 06:09:48)
*A: Add
  M: Modify
  D: Delete</t>
        </r>
      </text>
    </comment>
  </commentList>
  <extLst>
    <ext xmlns:r="http://schemas.openxmlformats.org/officeDocument/2006/relationships" uri="GoogleSheetsCustomDataVersion1">
      <go:sheetsCustomData xmlns:go="http://customooxmlschemas.google.com/" r:id="rId1" roundtripDataSignature="AMtx7mh4r3ldso+XbCKscmHalLs/WaIbaQ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8" authorId="0" shapeId="0" xr:uid="{9982E684-611C-4691-B407-9A72D3290450}">
      <text>
        <r>
          <rPr>
            <sz val="11"/>
            <color rgb="FF000000"/>
            <rFont val="Calibri"/>
            <scheme val="minor"/>
          </rPr>
          <t>======
ID#AAAAHWfBFzI
    (2020-11-28 06:09:48)
Pass
Fail
Untested
N/A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F8" authorId="0" shapeId="0" xr:uid="{2E804101-9664-44EA-A963-D9A203BC020B}">
      <text>
        <r>
          <rPr>
            <sz val="11"/>
            <color rgb="FF000000"/>
            <rFont val="Calibri"/>
            <scheme val="minor"/>
          </rPr>
          <t>======
ID#AAAAHWfBFzI
    (2020-11-28 06:09:48)
Pass
Fail
Untested
N/A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<sst xmlns="http://schemas.openxmlformats.org/spreadsheetml/2006/main" count="531" uniqueCount="350">
  <si>
    <t>TEST CASE</t>
  </si>
  <si>
    <t>Project Name</t>
  </si>
  <si>
    <t>Creator</t>
  </si>
  <si>
    <t>Project Code</t>
  </si>
  <si>
    <t>Reviewer/Approver</t>
  </si>
  <si>
    <t>Document Code</t>
  </si>
  <si>
    <t>Issue Date</t>
  </si>
  <si>
    <t>Version</t>
  </si>
  <si>
    <t>Record of change</t>
  </si>
  <si>
    <t>Effective Date</t>
  </si>
  <si>
    <t>Change Item</t>
  </si>
  <si>
    <t>*A,D,M</t>
  </si>
  <si>
    <t>Change description</t>
  </si>
  <si>
    <t>Reference</t>
  </si>
  <si>
    <t>0.1</t>
  </si>
  <si>
    <t>A</t>
  </si>
  <si>
    <t>Create sample file of Test Case</t>
  </si>
  <si>
    <t>AB-SD_Software Requirements Specification</t>
  </si>
  <si>
    <t>TEST CASE LIST</t>
  </si>
  <si>
    <t>Test Environment Setup Description</t>
  </si>
  <si>
    <t>No</t>
  </si>
  <si>
    <t>Function Name</t>
  </si>
  <si>
    <t>Sheet Name</t>
  </si>
  <si>
    <t>Description</t>
  </si>
  <si>
    <t>Pre-Condition</t>
  </si>
  <si>
    <t>&lt;Add more function names here&gt;</t>
  </si>
  <si>
    <t>Requirement Level 1</t>
  </si>
  <si>
    <t>Requirement Level 2</t>
  </si>
  <si>
    <t>Requirement Level 3</t>
  </si>
  <si>
    <t>Test Criteria</t>
  </si>
  <si>
    <t>Test Type</t>
  </si>
  <si>
    <t>Note</t>
  </si>
  <si>
    <t>Function</t>
  </si>
  <si>
    <t>Module Code</t>
  </si>
  <si>
    <t>Passed</t>
  </si>
  <si>
    <t>Test requirement</t>
  </si>
  <si>
    <t>Failed</t>
  </si>
  <si>
    <t>Tester</t>
  </si>
  <si>
    <t>Blocked</t>
  </si>
  <si>
    <t>Untested</t>
  </si>
  <si>
    <t>Skipped</t>
  </si>
  <si>
    <t>Number of Test cases</t>
  </si>
  <si>
    <t>ID</t>
  </si>
  <si>
    <t>Test Case Description</t>
  </si>
  <si>
    <t>Test Case Procedure</t>
  </si>
  <si>
    <t>Expected Output</t>
  </si>
  <si>
    <t>Inter-test case Dependence</t>
  </si>
  <si>
    <t>Result</t>
  </si>
  <si>
    <t>Test date</t>
  </si>
  <si>
    <t>&lt;DefectID-1&gt;</t>
  </si>
  <si>
    <t>&lt;DefectID-2&gt;</t>
  </si>
  <si>
    <t>TEST REPORT</t>
  </si>
  <si>
    <t>Notes</t>
  </si>
  <si>
    <t>&lt;List modules included in this release&gt; ex: Release 1 includes 2 modules: Module1 and Module2</t>
  </si>
  <si>
    <t>Module code</t>
  </si>
  <si>
    <t>Pass</t>
  </si>
  <si>
    <t>Fail</t>
  </si>
  <si>
    <t>Number of  test cases</t>
  </si>
  <si>
    <t>Sub total</t>
  </si>
  <si>
    <t>Test coverage</t>
  </si>
  <si>
    <t>%</t>
  </si>
  <si>
    <t>Test successful coverage</t>
  </si>
  <si>
    <t>group02-mahocommerce-testing</t>
  </si>
  <si>
    <t>Vo Van Thiet</t>
  </si>
  <si>
    <t xml:space="preserve">Customer Registration </t>
  </si>
  <si>
    <t>[CustReg-1]</t>
  </si>
  <si>
    <t>Check registration with all valid mandatory fields</t>
  </si>
  <si>
    <t>None</t>
  </si>
  <si>
    <t>Check registration with all mandatory and optional fields</t>
  </si>
  <si>
    <t>Check password visibility toggle icon</t>
  </si>
  <si>
    <t>Password characters become visible in plain text. Clicking again masks them.</t>
  </si>
  <si>
    <t>Check email case insensitivity handling</t>
  </si>
  <si>
    <t>System displays an error indicating that the email address is already registered.</t>
  </si>
  <si>
    <t>Check registration with complex valid password</t>
  </si>
  <si>
    <t>Registration succeeds without password complexity error.</t>
  </si>
  <si>
    <t>Check successful redirect after registration</t>
  </si>
  <si>
    <t>User is automatically logged in or redirected to the welcome/login page seamlessly.</t>
  </si>
  <si>
    <t>Check welcome email notification trigger</t>
  </si>
  <si>
    <t>A welcome email containing account details or confirmation link is received.</t>
  </si>
  <si>
    <t>Check newsletter subscription default state and toggle</t>
  </si>
  <si>
    <t>Check tab index navigation across form fields</t>
  </si>
  <si>
    <t>Focus moves logically from field to field in correct order.</t>
  </si>
  <si>
    <t>Check form submission via 'Enter' key</t>
  </si>
  <si>
    <t>Form is submitted and account registration process is triggered.</t>
  </si>
  <si>
    <t>Check submit with completely empty form</t>
  </si>
  <si>
    <t>Validation error messages appear for all mandatory fields (First Name, Last Name, Email, Password, Terms).</t>
  </si>
  <si>
    <t>Check registration with blank Email field</t>
  </si>
  <si>
    <t>Inline validation error message: "Email is required" or similar. Account is not created.</t>
  </si>
  <si>
    <t>Check registration with invalid email format (missing '@')</t>
  </si>
  <si>
    <t>Validation error message: "Please enter a valid email address."</t>
  </si>
  <si>
    <t>Check registration with invalid email format (missing domain)</t>
  </si>
  <si>
    <t>Check registration with already registered email (Duplicate)</t>
  </si>
  <si>
    <t>Error message: "This email is already registered." Account creation fails.</t>
  </si>
  <si>
    <t>Check registration with blank Password field</t>
  </si>
  <si>
    <t>Validation error message: "Password is required." Account is not created.</t>
  </si>
  <si>
    <t>Check registration with password shorter than minimum length</t>
  </si>
  <si>
    <t>Validation error message: "Password must be at least 8 characters long."</t>
  </si>
  <si>
    <t>Check registration with password missing uppercase letter</t>
  </si>
  <si>
    <t>Validation error message indicating uppercase letter is required.</t>
  </si>
  <si>
    <t>Check registration with password missing lowercase letter</t>
  </si>
  <si>
    <t>Validation error message indicating lowercase letter is required.</t>
  </si>
  <si>
    <t>Check registration with password missing numeric digit</t>
  </si>
  <si>
    <t>Validation error message indicating numeric digit is required.</t>
  </si>
  <si>
    <t>Check registration with password missing special character</t>
  </si>
  <si>
    <t>Validation error message indicating special character is required.</t>
  </si>
  <si>
    <t>Check registration with blank Confirm Password field</t>
  </si>
  <si>
    <t>Validation error message: "Please confirm your password."</t>
  </si>
  <si>
    <t>Check registration when Password and Confirm Password do not match</t>
  </si>
  <si>
    <t>Validation error message: "Passwords do not match."</t>
  </si>
  <si>
    <t>Check registration with blank First Name field</t>
  </si>
  <si>
    <t>Validation error message: "First Name is required."</t>
  </si>
  <si>
    <t>Check registration with blank Last Name field</t>
  </si>
  <si>
    <t>Validation error message: "Last Name is required."</t>
  </si>
  <si>
    <t>Check registration without accepting Terms and Conditions</t>
  </si>
  <si>
    <t>Validation error message: "You must agree to the Terms and Conditions."</t>
  </si>
  <si>
    <t>Check registration with invalid phone number format</t>
  </si>
  <si>
    <t>Validation error message: "Please enter a valid phone number." or input restricted.</t>
  </si>
  <si>
    <t>Check SQL injection payload in Name field</t>
  </si>
  <si>
    <t>Payload is sanitized/escaped properly. Error shown or registration rejected safely without DB error exposure.</t>
  </si>
  <si>
    <t>Check XSS script payload in Last Name field</t>
  </si>
  <si>
    <t>Script does not execute; input is safely escaped or sanitized.</t>
  </si>
  <si>
    <t>Check behavior on rapid multiple clicks of [Register] button</t>
  </si>
  <si>
    <t>System prevents duplicate account creation; only one account is created and registered successfully.</t>
  </si>
  <si>
    <t>1. Account is created successfully.
2. Redirected to Account Dashboard or Login page.
3. Success message is displayed.</t>
  </si>
  <si>
    <t>Pre-condition:
- DB is clean or test email does not exist.
Step:
1. Navigate to Registration page.
2. Input valid First Name, Last Name, Email, Password, and Confirm Password.
3. Check Terms &amp; Conditions checkbox.
4. Click [Register] button.</t>
  </si>
  <si>
    <t>1. Account is created successfully with optional data saved in DB.
2. Success message is displayed.</t>
  </si>
  <si>
    <t>Pre-condition:
- On Registration page.
Step:
1. Input text into Password field.
2. Click the 'Show/Eye' icon next to Password.</t>
  </si>
  <si>
    <t>Pre-condition:
- On Registration page.
Step:
1. Input email and valid password containing uppercase, lowercase, numbers, and special characters (e.g., Test@12345).
2. Confirm password and click [Register].</t>
  </si>
  <si>
    <t>Pre-condition:
- Email server / mock server is active.
Step:
1. Complete registration with a valid active email.
2. Check user's inbox.</t>
  </si>
  <si>
    <t>Pre-condition:
- Test email does not exist.
Step:
1. Navigate to Registration page.
2. Input valid data for all mandatory fields.
3. Input optional fields (Phone number, Address, Newsletter opt-in).
4. Check Terms &amp; Conditions.
5. Click [Register].</t>
  </si>
  <si>
    <t>Pre-condition:
- Registered email User@Example.com exists.
Step:
1. Register a new account using user@example.com.
2. Click [Register].</t>
  </si>
  <si>
    <t>Pre-condition:
- Valid registration details prepared.
Step:
1. Complete registration successfully.</t>
  </si>
  <si>
    <t>Pre-condition:
- On Registration page.
Step:
1. Inspect newsletter checkbox default state.
2. Toggle it and complete registration.</t>
  </si>
  <si>
    <t>1. Default state is unchecked (or as per business rule).
2. Newsletter preference is correctly saved in DB.</t>
  </si>
  <si>
    <t>Pre-condition:
- On Registration page.
Step:
1. Focus on First Name field.
2. Press 'Tab' key consecutively through all input fields and buttons.</t>
  </si>
  <si>
    <t>Pre-condition:
- All mandatory fields filled correctly.
Step:
1. Focus on Confirm Password field.
2. Press 'Enter' key on keyboard.</t>
  </si>
  <si>
    <t>Pre-condition:
- On Registration page with blank fields.
Step:
1. Click [Register] button directly.</t>
  </si>
  <si>
    <t>Pre-condition:
- On Registration page.
Step:
1. Fill all mandatory fields except Email.
2. Click [Register].</t>
  </si>
  <si>
    <t>Pre-condition:
- On Registration page.
Step:
1. Input email as johndoegmail.com.
2. Fill other mandatory fields and click [Register].</t>
  </si>
  <si>
    <t>Pre-condition:
- On Registration page.
Step:
1. Input email as johndoe@.
3. Click [Register].</t>
  </si>
  <si>
    <t>Pre-condition:
- Email existing@mahocommerce.com exists in DB.
Step:
1. Input existing@mahocommerce.com in Email field.
2. Fill other fields and click [Register].</t>
  </si>
  <si>
    <t>Pre-condition:
- On Registration page.
Step:
1. Fill all mandatory fields except Password.
2. Click [Register].</t>
  </si>
  <si>
    <t>Pre-condition:
- Minimum password length rule is 8 characters.
Step:
1. Input password with 6 characters (e.g., Ab1!).
2. Complete other fields and click [Register].</t>
  </si>
  <si>
    <t>Pre-condition:
- Password policy requires uppercase.
Step:
1. Input password with lowercase, numbers, special chars only (e.g., password123!).
2. Click [Register].</t>
  </si>
  <si>
    <t>Pre-condition:
- Password policy requires lowercase.
Step:
1. Input password with uppercase, numbers, special chars only (e.g., PASSWORD123!).
2. Click [Register].</t>
  </si>
  <si>
    <t>Pre-condition:
- Password policy requires number.
Step:
1. Input password without numbers (e.g., Password!).
2. Click [Register].</t>
  </si>
  <si>
    <t>Pre-condition:
- Password policy requires special character.
Step:
1. Input password without special characters (e.g., Password123).
2. Click [Register].</t>
  </si>
  <si>
    <t>Pre-condition:
- On Registration page.
Step:
1. Fill Password field.
2. Leave Confirm Password blank.
3. Click [Register].</t>
  </si>
  <si>
    <t>Pre-condition:
- On Registration page.
Step:
1. Input Password as Password@123.
2. Input Confirm Password as Password@321.
3. Click [Register].</t>
  </si>
  <si>
    <t>Pre-condition:
- On Registration page.
Step:
1. Leave First Name blank, fill all other mandatory fields.
2. Click [Register].</t>
  </si>
  <si>
    <t>Pre-condition:
- On Registration page.
Step:
1. Leave Last Name blank, fill all other mandatory fields.
2. Click [Register].</t>
  </si>
  <si>
    <t>Pre-condition:
- On Registration page.
Step:
1. Fill all valid details.
2. Leave Terms &amp; Conditions checkbox unchecked.
3. Click [Register].</t>
  </si>
  <si>
    <t>Pre-condition:
- On Registration page.
Step:
1. Input alphabetic characters in Phone Number optional field (e.g., ABCDE12345).
2. Click [Register].</t>
  </si>
  <si>
    <t>Pre-condition:
- On Registration page.
Step:
1. Input ' OR '1'='1 into First Name field.
2. Fill other fields with valid data and click [Register].</t>
  </si>
  <si>
    <t>Pre-condition:
- On Registration page.
Step:
1. Input &lt;script&gt;alert('xss')&lt;/script&gt; into Last Name field.
2. Complete registration and check profile display.</t>
  </si>
  <si>
    <t>Pre-condition:
- Valid registration form filled.
Step:
1. Double-click or rapidly click the [Register] button multiple times simultaneously.</t>
  </si>
  <si>
    <t>CustRegistration</t>
  </si>
  <si>
    <t>Nguyen Hoai Thuong</t>
  </si>
  <si>
    <t>1. Chrome</t>
  </si>
  <si>
    <t>7. Promotions &amp; Discounts</t>
  </si>
  <si>
    <t>7.1 Cart Value Rule</t>
  </si>
  <si>
    <t>Boundary Value Analysis (Min Value = $50.00)</t>
  </si>
  <si>
    <t>Check order value just below minimum boundary ($49.99) -&gt; No discount applied</t>
  </si>
  <si>
    <t>BVA: Below minimum threshold</t>
  </si>
  <si>
    <t>Check order value at exact minimum boundary ($50.00) -&gt; Discount applied</t>
  </si>
  <si>
    <t>BVA: Exact minimum threshold</t>
  </si>
  <si>
    <t>Check order value just above minimum boundary ($50.01) -&gt; Discount applied</t>
  </si>
  <si>
    <t>BVA: Above minimum threshold</t>
  </si>
  <si>
    <t>Boundary Value Analysis (Max Value = $200.00)</t>
  </si>
  <si>
    <t>Check order value just below maximum boundary ($199.99) -&gt; Tier 1 discount applied</t>
  </si>
  <si>
    <t>BVA: Below maximum threshold</t>
  </si>
  <si>
    <t>Check order value at exact maximum boundary ($200.00) -&gt; Tier 1 discount applied</t>
  </si>
  <si>
    <t>BVA: Exact maximum threshold</t>
  </si>
  <si>
    <t>Check order value just above maximum boundary ($200.01) -&gt; Tier 2 discount applied</t>
  </si>
  <si>
    <t>BVA: Above maximum threshold</t>
  </si>
  <si>
    <t>Equivalence Partitioning (Order Value Partitions)</t>
  </si>
  <si>
    <t>Check order value in invalid partition (e.g., $20.00) -&gt; No discount applied</t>
  </si>
  <si>
    <t>EP: Invalid lower partition (Select 1 representative value)</t>
  </si>
  <si>
    <t>Check order value in valid middle partition (e.g., $100.00) -&gt; Standard discount applied</t>
  </si>
  <si>
    <t>EP: Valid mid partition (Select 1 representative value)</t>
  </si>
  <si>
    <t>Check order value in valid upper partition (e.g., $350.00) -&gt; High-tier discount applied</t>
  </si>
  <si>
    <t>EP: Valid upper partition (Select 1 representative value)</t>
  </si>
  <si>
    <t>7.2 Coupon Code Validation</t>
  </si>
  <si>
    <t>Usage Limit per Customer (Max = 1)</t>
  </si>
  <si>
    <t>Apply coupon code for the first time by a registered customer -&gt; Success</t>
  </si>
  <si>
    <t>Valid usage limit partition</t>
  </si>
  <si>
    <t>Apply the same coupon code for the second time by the same customer -&gt; Error message shown</t>
  </si>
  <si>
    <t>Exceed usage limit partition</t>
  </si>
  <si>
    <t>Coupon Expiration Date (Valid: 2026-06-01 to 2026-06-07)</t>
  </si>
  <si>
    <t>Apply coupon before start date (2026-05-31) -&gt; Error message "Coupon not active yet"</t>
  </si>
  <si>
    <t>BVA: Before start date boundary</t>
  </si>
  <si>
    <t>Apply coupon on exact start date (2026-06-01) -&gt; Success</t>
  </si>
  <si>
    <t>BVA: Exact start date boundary</t>
  </si>
  <si>
    <t>Apply coupon during valid active period (2026-06-04) -&gt; Success</t>
  </si>
  <si>
    <t>EP: Valid date partition</t>
  </si>
  <si>
    <t>Apply coupon on exact end date (2026-06-07) -&gt; Success</t>
  </si>
  <si>
    <t>BVA: Exact end date boundary</t>
  </si>
  <si>
    <t>Apply coupon after end date (2026-06-08) -&gt; Error message "Coupon expired"</t>
  </si>
  <si>
    <t>BVA: After end date boundary</t>
  </si>
  <si>
    <t>Coupon Code Format &amp; Input</t>
  </si>
  <si>
    <t>Standard format</t>
  </si>
  <si>
    <t>Alternative valid partition</t>
  </si>
  <si>
    <t>Invalid format/code partition</t>
  </si>
  <si>
    <t>Input empty coupon code and click apply -&gt; Validation error message</t>
  </si>
  <si>
    <t>Empty input handling</t>
  </si>
  <si>
    <t>7.3 Promotion Priority &amp; Combination</t>
  </si>
  <si>
    <t>Rule Conflicts &amp; Stacking</t>
  </si>
  <si>
    <t>Apply two exclusive promotions simultaneously -&gt; System applies highest priority rule or blocks conflict</t>
  </si>
  <si>
    <t>Rule priority handling</t>
  </si>
  <si>
    <t>Apply a stackable product rule and a cart rule simultaneously -&gt; Both discounts calculated correctly</t>
  </si>
  <si>
    <t>Stackable rules combination</t>
  </si>
  <si>
    <t>7.4 Admin Management</t>
  </si>
  <si>
    <t>Rule Creation &amp; Status</t>
  </si>
  <si>
    <t>Create promotion rule with mandatory fields empty -&gt; Validation error prompts</t>
  </si>
  <si>
    <t>Form validation check</t>
  </si>
  <si>
    <t>Toggle promotion status from Active to Inactive -&gt; Rule is no longer applied on frontend</t>
  </si>
  <si>
    <t>Status transition testing</t>
  </si>
  <si>
    <t>Delete an active promotion rule from admin list -&gt; Rule is permanently removed and inactive</t>
  </si>
  <si>
    <t>Delete operation testing</t>
  </si>
  <si>
    <t>Input correct uppercase coupon code (SUMMER2026) -&gt; Success</t>
  </si>
  <si>
    <t>Input lowercase equivalent code (summer2026) -&gt; Success (Case insensitive check)</t>
  </si>
  <si>
    <t>Input non-existent coupon code (INVALID999) -&gt; Error "Coupon not found"</t>
  </si>
  <si>
    <t>[Promo-1]</t>
  </si>
  <si>
    <t>Check order value just below minimum boundary ($49.99) for $50 threshold rule</t>
  </si>
  <si>
    <t>User is logged in or guest user</t>
  </si>
  <si>
    <t>BVA: Just below min boundary ($49.99 &lt; $50.00)</t>
  </si>
  <si>
    <t>[Promo-2]</t>
  </si>
  <si>
    <t>Check order value at exact minimum boundary ($50.00) for $50 threshold rule</t>
  </si>
  <si>
    <t>BVA: Exact min boundary ($50.00)</t>
  </si>
  <si>
    <t>[Promo-3]</t>
  </si>
  <si>
    <t>Check order value just above minimum boundary ($50.01) for $50 threshold rule</t>
  </si>
  <si>
    <t>BVA: Just above min boundary ($50.01 &gt; $50.00)</t>
  </si>
  <si>
    <t>[Promo-4]</t>
  </si>
  <si>
    <t>BVA: Below max threshold ($199.99)</t>
  </si>
  <si>
    <t>[Promo-5]</t>
  </si>
  <si>
    <t>Check order value at exact maximum boundary ($200.00) for Tier 1 discount rule</t>
  </si>
  <si>
    <t>BVA: Exact max threshold ($200.00)</t>
  </si>
  <si>
    <t>[Promo-6]</t>
  </si>
  <si>
    <t>Check order value just above maximum boundary ($200.01) for Tier 2 discount rule</t>
  </si>
  <si>
    <t>BVA: Above max threshold ($200.01)</t>
  </si>
  <si>
    <t>[Promo-7]</t>
  </si>
  <si>
    <t>Check order value in invalid partition ($20.00)</t>
  </si>
  <si>
    <t>EP: Invalid lower partition ($20.00)</t>
  </si>
  <si>
    <t>[Promo-8]</t>
  </si>
  <si>
    <t>Check order value in valid middle partition ($100.00)</t>
  </si>
  <si>
    <t>EP: Valid middle partition ($100.00)</t>
  </si>
  <si>
    <t>[Promo-9]</t>
  </si>
  <si>
    <t>Check order value in valid upper partition ($350.00)</t>
  </si>
  <si>
    <t>EP: Valid upper partition ($350.00)</t>
  </si>
  <si>
    <t>[Promo-10]</t>
  </si>
  <si>
    <t>Apply coupon code for the first time by a registered customer</t>
  </si>
  <si>
    <t>Log in with Role = Customer</t>
  </si>
  <si>
    <t>Usage limit: First attempt</t>
  </si>
  <si>
    <t>[Promo-11]</t>
  </si>
  <si>
    <t>Apply the same coupon code for the second time by the same customer</t>
  </si>
  <si>
    <t>Promo-10</t>
  </si>
  <si>
    <t>Usage limit: Exceeded attempt</t>
  </si>
  <si>
    <t>[Promo-12]</t>
  </si>
  <si>
    <t>Apply coupon before valid start date (2026-05-31)</t>
  </si>
  <si>
    <t>BVA: Before start date</t>
  </si>
  <si>
    <t>[Promo-13]</t>
  </si>
  <si>
    <t>Apply coupon on exact valid start date (2026-06-01)</t>
  </si>
  <si>
    <t>BVA: Exact start date</t>
  </si>
  <si>
    <t>[Promo-14]</t>
  </si>
  <si>
    <t>Apply coupon during valid active period (2026-06-04)</t>
  </si>
  <si>
    <t>EP: Valid active date range</t>
  </si>
  <si>
    <t>[Promo-15]</t>
  </si>
  <si>
    <t>Apply coupon on exact valid end date (2026-06-07)</t>
  </si>
  <si>
    <t>BVA: Exact end date</t>
  </si>
  <si>
    <t>[Promo-16]</t>
  </si>
  <si>
    <t>Apply coupon after valid end date (2026-06-08)</t>
  </si>
  <si>
    <t>BVA: After end date</t>
  </si>
  <si>
    <t>[Promo-17]</t>
  </si>
  <si>
    <t>Exact string match</t>
  </si>
  <si>
    <t>[Promo-18]</t>
  </si>
  <si>
    <t>Case insensitive check</t>
  </si>
  <si>
    <t>[Promo-19]</t>
  </si>
  <si>
    <t>Non-existent code input</t>
  </si>
  <si>
    <t>[Promo-20]</t>
  </si>
  <si>
    <t>Input empty coupon code and click apply</t>
  </si>
  <si>
    <t>Blank input validation</t>
  </si>
  <si>
    <t>[Promo-21]</t>
  </si>
  <si>
    <t>Apply two exclusive promotions simultaneously</t>
  </si>
  <si>
    <t>Conflict resolution rule</t>
  </si>
  <si>
    <t>[Promo-22]</t>
  </si>
  <si>
    <t>Apply a stackable product rule and a cart rule simultaneously</t>
  </si>
  <si>
    <t>Stackable promotions</t>
  </si>
  <si>
    <t>[Promo-23]</t>
  </si>
  <si>
    <t>Create promotion rule with mandatory fields empty in Admin</t>
  </si>
  <si>
    <t>Log in with role = Admin</t>
  </si>
  <si>
    <t>Admin form validation</t>
  </si>
  <si>
    <t>[Promo-24]</t>
  </si>
  <si>
    <t>Toggle promotion status from Active to Inactive</t>
  </si>
  <si>
    <t>Status transition test</t>
  </si>
  <si>
    <t>[Promo-25]</t>
  </si>
  <si>
    <t>Delete an active promotion rule from admin list</t>
  </si>
  <si>
    <t>Delete operation check</t>
  </si>
  <si>
    <t>Check order value just below maximum boundary (199.99)forTier1discountrule(50 - $200)</t>
  </si>
  <si>
    <r>
      <t>Input correct uppercase coupon code (</t>
    </r>
    <r>
      <rPr>
        <sz val="11"/>
        <color rgb="FF188038"/>
        <rFont val="Courier New"/>
        <family val="3"/>
      </rPr>
      <t>SUMMER2026</t>
    </r>
    <r>
      <rPr>
        <sz val="11"/>
        <color rgb="FF000000"/>
        <rFont val="Arial"/>
        <family val="2"/>
      </rPr>
      <t>)</t>
    </r>
  </si>
  <si>
    <r>
      <t>Input lowercase equivalent code (</t>
    </r>
    <r>
      <rPr>
        <sz val="11"/>
        <color rgb="FF188038"/>
        <rFont val="Courier New"/>
        <family val="3"/>
      </rPr>
      <t>summer2026</t>
    </r>
    <r>
      <rPr>
        <sz val="11"/>
        <color rgb="FF000000"/>
        <rFont val="Arial"/>
        <family val="2"/>
      </rPr>
      <t>)</t>
    </r>
  </si>
  <si>
    <r>
      <t>Input non-existent coupon code (</t>
    </r>
    <r>
      <rPr>
        <sz val="11"/>
        <color rgb="FF188038"/>
        <rFont val="Courier New"/>
        <family val="3"/>
      </rPr>
      <t>INVALID999</t>
    </r>
    <r>
      <rPr>
        <sz val="11"/>
        <color rgb="FF000000"/>
        <rFont val="Arial"/>
        <family val="2"/>
      </rPr>
      <t>)</t>
    </r>
  </si>
  <si>
    <t>Pre-condition:
+ Promotion rule created: Min subtotal = $50.00 for $10 discount.
Step:
1. Add products to cart with total subtotal = $49.99.
2. Proceed to Cart/Checkout screen.</t>
  </si>
  <si>
    <t>1. Cart subtotal displays $49.99.
2. No discount is applied.
3. Grand total remains $49.99 (plus tax/shipping if applicable).</t>
  </si>
  <si>
    <t>Pre-condition:
+ Promotion rule created: Min subtotal = $50.00 for $10 discount.
Step:
1. Add products to cart with total subtotal = $50.00.
2. Proceed to Cart/Checkout screen.</t>
  </si>
  <si>
    <t>1. Cart subtotal displays $50.00.
2. Discount of $10.00 is automatically applied.
3. Grand total is recalculated to $40.00.</t>
  </si>
  <si>
    <t>Pre-condition:
+ Promotion rule created: Min subtotal = $50.00 for $10 discount.
Step:
1. Add products to cart with total subtotal = $50.01.
2. Proceed to Cart/Checkout screen.</t>
  </si>
  <si>
    <t>1. Cart subtotal displays $50.01.
2. Discount of $10.00 is automatically applied.
3. Grand total is recalculated to $40.01.</t>
  </si>
  <si>
    <t>Pre-condition:
+ Rule Tier 1: Subtotal 50-200 gets 10% off.
+ Rule Tier 2: Subtotal &gt; $200 gets 20% off.
Step:
1. Add items to cart with total = $199.99.
2. View Cart summary.</t>
  </si>
  <si>
    <t>1. Tier 1 discount (10% = $20.00) is applied.
2. Grand total displays $179.99.</t>
  </si>
  <si>
    <t>Pre-condition:
+ Rule Tier 1: Subtotal 50-200 gets 10% off.
+ Rule Tier 2: Subtotal &gt; $200 gets 20% off.
Step:
1. Add items to cart with total = $200.00.
2. View Cart summary.</t>
  </si>
  <si>
    <t>1. Tier 1 discount (10% = $20.00) is applied.
2. Grand total displays $180.00.</t>
  </si>
  <si>
    <t>Pre-condition:
+ Rule Tier 1: Subtotal 50-200 gets 10% off.
+ Rule Tier 2: Subtotal &gt; $200 gets 20% off.
Step:
1. Add items to cart with total = $200.01.
2. View Cart summary.</t>
  </si>
  <si>
    <t>1. Tier 2 discount (20% = $40.00) is applied instead of Tier 1.
2. Grand total displays $160.01.</t>
  </si>
  <si>
    <t>Pre-condition:
+ Minimum order subtotal for promotion is $50.00.
Step:
1. Add items to cart with total = $20.00.
2. View Cart summary.</t>
  </si>
  <si>
    <t>1. No discount is applied.
2. Grand total displays $20.00.</t>
  </si>
  <si>
    <t>Pre-condition:
+ Rule: Subtotal 50-200 gets 10% off ($10.00 off for $100.00).
Step:
1. Add items to cart with total = $100.00.
2. View Cart summary.</t>
  </si>
  <si>
    <t>1. 10% discount ($10.00) is correctly calculated and applied.
2. Grand total displays $90.00.</t>
  </si>
  <si>
    <t>Pre-condition:
+ Rule: Subtotal &gt; $200 gets 20% off.
Step:
1. Add items to cart with total = $350.00.
2. View Cart summary.</t>
  </si>
  <si>
    <t>1. 20% discount ($70.00) is applied.
2. Grand total displays $280.00.</t>
  </si>
  <si>
    <t>Pre-condition:
+ Coupon code ONETIME set to max 1 use per customer.
+ Customer account registered.
Step:
1. Log in as Customer A.
2. Add item to cart.
3. Enter ONETIME into Coupon Code box and click Apply.</t>
  </si>
  <si>
    <t>1. System displays message "Coupon code ONETIME was applied successfully."
2. Discount is subtracted from cart total.</t>
  </si>
  <si>
    <t>Pre-condition:
+ Customer A has already completed 1 order using ONETIME.
Step:
1. Log in as Customer A.
2. Add item to cart.
3. Enter ONETIME into Coupon Code box and click Apply.</t>
  </si>
  <si>
    <t>1. System displays error message: "Coupon code ONETIME has already been used maximum allowed times."
2. No discount is applied.</t>
  </si>
  <si>
    <t>Pre-condition:
+ Coupon SUMMER valid period: 2026-06-01 to 2026-06-07.
+ System date is set to 2026-05-31.
Step:
1. Add item to cart.
2. Enter SUMMER and click Apply.</t>
  </si>
  <si>
    <t>1. Error message displayed: "Coupon code is not active yet."
2. Discount is not applied.</t>
  </si>
  <si>
    <t>Pre-condition:
+ Coupon SUMMER valid period: 2026-06-01 to 2026-06-07.
+ System date is set to 2026-06-01.
Step:
1. Add item to cart.
2. Enter SUMMER and click Apply.</t>
  </si>
  <si>
    <t>1. Success message displayed.
2. Discount is successfully applied to cart.</t>
  </si>
  <si>
    <t>Pre-condition:
+ Coupon SUMMER valid period: 2026-06-01 to 2026-06-07.
+ System date is set to 2026-06-04.
Step:
1. Add item to cart.
2. Enter SUMMER and click Apply.</t>
  </si>
  <si>
    <t>Pre-condition:
+ Coupon SUMMER valid period: 2026-06-01 to 2026-06-07 (expires 23:59:59).
+ System date is set to 2026-06-07.
Step:
1. Add item to cart.
2. Enter SUMMER and click Apply.</t>
  </si>
  <si>
    <t>Pre-condition:
+ Coupon SUMMER valid period: 2026-06-01 to 2026-06-07.
+ System date is set to 2026-06-08.
Step:
1. Add item to cart.
2. Enter SUMMER and click Apply.</t>
  </si>
  <si>
    <t>1. Error message displayed: "Coupon code has expired."
2. Discount is not applied.</t>
  </si>
  <si>
    <t>Pre-condition:
+ Active coupon code created: SUMMER2026.
Step:
1. Add item to cart.
2. Enter SUMMER2026 into Coupon field and click Apply.</t>
  </si>
  <si>
    <t>1. Success message displayed.
2. Corresponding discount applied.</t>
  </si>
  <si>
    <t>Pre-condition:
+ Active coupon code created: SUMMER2026.
Step:
1. Add item to cart.
2. Enter summer2026 into Coupon field and click Apply.</t>
  </si>
  <si>
    <t>1. System normalizes input to uppercase.
2. Success message displayed.
3. Corresponding discount applied.</t>
  </si>
  <si>
    <t>Pre-condition:
+ Code INVALID999 does not exist in DB.
Step:
1. Add item to cart.
2. Enter INVALID999 into Coupon field and click Apply.</t>
  </si>
  <si>
    <t>1. Error message displayed: "Coupon code INVALID999 is not valid."
2. No discount is applied.</t>
  </si>
  <si>
    <t>Pre-condition:
+ User is on Shopping Cart page.
Step:
1. Leave Coupon field blank.
2. Click Apply Coupon button.</t>
  </si>
  <si>
    <t>1. Validation warning displayed: "Please enter a coupon code."
2. Cart total remains unchanged.</t>
  </si>
  <si>
    <t>Pre-condition:
+ Rule A (Priority 1, Stop Further Rules = Yes): $10 off.
+ Rule B (Priority 2): $5 off.
Step:
1. Add eligible items to cart.
2. Proceed to cart page.</t>
  </si>
  <si>
    <t>1. Only Rule A ($10 off) is applied.
2. Rule B is ignored due to "Stop Further Rules" flag.</t>
  </si>
  <si>
    <t>Pre-condition:
+ Product Rule: 10% off item A ($100 -&gt; $90).
+ Cart Rule: $5 off for cart subtotal &gt; 50.
**Step:**
1.AdditemA(100) to cart.
2. View Cart page.</t>
  </si>
  <si>
    <t>1. Item price reduced to $90.00.
2. Additional $5.00 cart discount applied.
3. Final Grand Total displays $85.00.</t>
  </si>
  <si>
    <t>Pre-condition:
+ Logged into Admin Panel.
Step:
1. Go to Marketing &gt; Cart Price Rules &gt; Add New Rule.
2. Leave "Rule Name" and "Discount Amount" blank.
3. Click Save.</t>
  </si>
  <si>
    <t>1. Form submission is blocked.
2. Validation error messages appear under required fields ("This is a required field.").</t>
  </si>
  <si>
    <t>Pre-condition:
+ Rule TEST_ACTIVE is currently Active.
Step:
1. In Admin panel, edit TEST_ACTIVE and set Status = Inactive.
2. Click Save.
3. Go to Storefront, add eligible item to cart and apply rule.</t>
  </si>
  <si>
    <t>1. Rule saved as Inactive in Admin.
2. Storefront does not apply the discount.
3. Error message appears if code entered.</t>
  </si>
  <si>
    <t>Pre-condition:
+ Rule DELETE_ME exists in DB.
Step:
1. In Admin panel, select DELETE_ME and click Delete.
2. Confirm deletion popup.
3. Try applying DELETE_ME on storefront.</t>
  </si>
  <si>
    <t>1. Rule is permanently removed from Admin grid.
2. Storefront returns invalid code error when attempted.</t>
  </si>
  <si>
    <t>Promotion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</si>
</sst>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409]dd\-mmm\-yy"/>
  </numFmts>
  <fonts count="24" x14ac:knownFonts="1">
    <font>
      <sz val="11"/>
      <color rgb="FF000000"/>
      <name val="Calibri"/>
      <scheme val="minor"/>
    </font>
    <font>
      <sz val="10"/>
      <color theme="1"/>
      <name val="Tahoma"/>
    </font>
    <font>
      <b/>
      <sz val="20"/>
      <color rgb="FF000000"/>
      <name val="Tahoma"/>
    </font>
    <font>
      <sz val="11"/>
      <name val="Calibri"/>
    </font>
    <font>
      <b/>
      <sz val="10"/>
      <color rgb="FF993300"/>
      <name val="Tahoma"/>
    </font>
    <font>
      <i/>
      <sz val="10"/>
      <color rgb="FF008000"/>
      <name val="Tahoma"/>
    </font>
    <font>
      <b/>
      <sz val="10"/>
      <color rgb="FFFFFFFF"/>
      <name val="Tahoma"/>
    </font>
    <font>
      <b/>
      <sz val="10"/>
      <color rgb="FF000000"/>
      <name val="Tahoma"/>
    </font>
    <font>
      <b/>
      <sz val="10"/>
      <color rgb="FFFF0000"/>
      <name val="Tahoma"/>
    </font>
    <font>
      <b/>
      <sz val="10"/>
      <color theme="1"/>
      <name val="Tahoma"/>
    </font>
    <font>
      <u/>
      <sz val="10"/>
      <color rgb="FF0000FF"/>
      <name val="Tahoma"/>
    </font>
    <font>
      <sz val="10"/>
      <color rgb="FF000000"/>
      <name val="Tahoma"/>
    </font>
    <font>
      <sz val="10"/>
      <color rgb="FFFF0000"/>
      <name val="Tahoma"/>
    </font>
    <font>
      <sz val="10"/>
      <color rgb="FFFFFFFF"/>
      <name val="Tahoma"/>
    </font>
    <font>
      <b/>
      <sz val="10"/>
      <color rgb="FF0000FF"/>
      <name val="Tahoma"/>
    </font>
    <font>
      <sz val="11"/>
      <color rgb="FF000000"/>
      <name val="Arial"/>
      <family val="2"/>
    </font>
    <font>
      <sz val="10"/>
      <color theme="1"/>
      <name val="Tahoma"/>
      <family val="2"/>
    </font>
    <font>
      <sz val="10"/>
      <color theme="1"/>
      <name val="Arial"/>
      <family val="2"/>
    </font>
    <font>
      <i/>
      <sz val="10"/>
      <color rgb="FF008000"/>
      <name val="Tahoma"/>
      <family val="2"/>
    </font>
    <font>
      <b/>
      <sz val="10"/>
      <color rgb="FF993300"/>
      <name val="Tahoma"/>
      <family val="2"/>
    </font>
    <font>
      <b/>
      <sz val="11"/>
      <color rgb="FF000000"/>
      <name val="Arial"/>
      <family val="2"/>
    </font>
    <font>
      <b/>
      <sz val="11"/>
      <color theme="1"/>
      <name val="Arial"/>
      <family val="2"/>
    </font>
    <font>
      <sz val="11"/>
      <color rgb="FF188038"/>
      <name val="Courier New"/>
      <family val="3"/>
    </font>
    <font>
      <u/>
      <sz val="11"/>
      <color rgb="FF0000FF"/>
      <name val="MS PGothic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0080"/>
        <bgColor rgb="FF000080"/>
      </patternFill>
    </fill>
    <fill>
      <patternFill patternType="solid">
        <fgColor rgb="FF333399"/>
        <bgColor rgb="FF333399"/>
      </patternFill>
    </fill>
    <fill>
      <patternFill patternType="solid">
        <fgColor rgb="FF00CCFF"/>
        <bgColor rgb="FF00CCFF"/>
      </patternFill>
    </fill>
    <fill>
      <patternFill patternType="solid">
        <fgColor theme="0"/>
        <bgColor indexed="64"/>
      </patternFill>
    </fill>
  </fills>
  <borders count="59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hair">
        <color rgb="FF000000"/>
      </left>
      <right/>
      <top style="thin">
        <color rgb="FF000000"/>
      </top>
      <bottom style="hair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thin">
        <color rgb="FF000000"/>
      </left>
      <right style="hair">
        <color rgb="FF000000"/>
      </right>
      <top style="thin">
        <color rgb="FF000000"/>
      </top>
      <bottom/>
      <diagonal/>
    </border>
    <border>
      <left style="hair">
        <color rgb="FF000000"/>
      </left>
      <right style="hair">
        <color rgb="FF000000"/>
      </right>
      <top style="thin">
        <color rgb="FF000000"/>
      </top>
      <bottom/>
      <diagonal/>
    </border>
    <border>
      <left style="hair">
        <color rgb="FF000000"/>
      </left>
      <right style="thin">
        <color rgb="FF000000"/>
      </right>
      <top style="thin">
        <color rgb="FF000000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dotted">
        <color indexed="64"/>
      </top>
      <bottom/>
      <diagonal/>
    </border>
  </borders>
  <cellStyleXfs count="1">
    <xf numFmtId="0" fontId="0" fillId="0" borderId="0"/>
  </cellStyleXfs>
  <cellXfs count="14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4" fillId="2" borderId="1" xfId="0" applyFont="1" applyFill="1" applyBorder="1" applyAlignment="1">
      <alignment horizontal="left"/>
    </xf>
    <xf numFmtId="0" fontId="5" fillId="0" borderId="0" xfId="0" applyFont="1" applyAlignment="1">
      <alignment horizontal="left"/>
    </xf>
    <xf numFmtId="0" fontId="1" fillId="2" borderId="1" xfId="0" applyFont="1" applyFill="1" applyBorder="1"/>
    <xf numFmtId="0" fontId="4" fillId="2" borderId="5" xfId="0" applyFont="1" applyFill="1" applyBorder="1" applyAlignment="1">
      <alignment horizontal="left"/>
    </xf>
    <xf numFmtId="164" fontId="5" fillId="0" borderId="4" xfId="0" applyNumberFormat="1" applyFont="1" applyBorder="1" applyAlignment="1">
      <alignment horizontal="left"/>
    </xf>
    <xf numFmtId="0" fontId="5" fillId="0" borderId="4" xfId="0" applyFont="1" applyBorder="1" applyAlignment="1">
      <alignment horizontal="left"/>
    </xf>
    <xf numFmtId="0" fontId="4" fillId="2" borderId="1" xfId="0" applyFont="1" applyFill="1" applyBorder="1"/>
    <xf numFmtId="0" fontId="4" fillId="0" borderId="0" xfId="0" applyFont="1" applyAlignment="1">
      <alignment horizontal="left"/>
    </xf>
    <xf numFmtId="1" fontId="1" fillId="2" borderId="1" xfId="0" applyNumberFormat="1" applyFont="1" applyFill="1" applyBorder="1"/>
    <xf numFmtId="0" fontId="1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7" fillId="2" borderId="1" xfId="0" applyFont="1" applyFill="1" applyBorder="1" applyAlignment="1">
      <alignment horizontal="left"/>
    </xf>
    <xf numFmtId="0" fontId="8" fillId="2" borderId="1" xfId="0" applyFont="1" applyFill="1" applyBorder="1" applyAlignment="1">
      <alignment horizontal="left"/>
    </xf>
    <xf numFmtId="1" fontId="4" fillId="2" borderId="1" xfId="0" applyNumberFormat="1" applyFont="1" applyFill="1" applyBorder="1"/>
    <xf numFmtId="1" fontId="1" fillId="2" borderId="1" xfId="0" applyNumberFormat="1" applyFont="1" applyFill="1" applyBorder="1" applyAlignment="1">
      <alignment vertical="center"/>
    </xf>
    <xf numFmtId="0" fontId="1" fillId="2" borderId="1" xfId="0" applyFont="1" applyFill="1" applyBorder="1" applyAlignment="1">
      <alignment horizontal="left" vertical="center"/>
    </xf>
    <xf numFmtId="1" fontId="6" fillId="4" borderId="14" xfId="0" applyNumberFormat="1" applyFont="1" applyFill="1" applyBorder="1" applyAlignment="1">
      <alignment horizontal="center" vertical="center"/>
    </xf>
    <xf numFmtId="0" fontId="6" fillId="4" borderId="15" xfId="0" applyFont="1" applyFill="1" applyBorder="1" applyAlignment="1">
      <alignment horizontal="center" vertical="center"/>
    </xf>
    <xf numFmtId="0" fontId="6" fillId="4" borderId="22" xfId="0" applyFont="1" applyFill="1" applyBorder="1" applyAlignment="1">
      <alignment horizontal="center" vertical="center"/>
    </xf>
    <xf numFmtId="0" fontId="6" fillId="4" borderId="16" xfId="0" applyFont="1" applyFill="1" applyBorder="1" applyAlignment="1">
      <alignment horizontal="center" vertical="center"/>
    </xf>
    <xf numFmtId="1" fontId="1" fillId="2" borderId="17" xfId="0" applyNumberFormat="1" applyFont="1" applyFill="1" applyBorder="1" applyAlignment="1">
      <alignment vertical="center"/>
    </xf>
    <xf numFmtId="0" fontId="10" fillId="2" borderId="18" xfId="0" applyFont="1" applyFill="1" applyBorder="1" applyAlignment="1">
      <alignment horizontal="left" vertical="center"/>
    </xf>
    <xf numFmtId="0" fontId="1" fillId="2" borderId="19" xfId="0" applyFont="1" applyFill="1" applyBorder="1" applyAlignment="1">
      <alignment horizontal="left" vertical="center"/>
    </xf>
    <xf numFmtId="49" fontId="5" fillId="2" borderId="18" xfId="0" applyNumberFormat="1" applyFont="1" applyFill="1" applyBorder="1" applyAlignment="1">
      <alignment horizontal="left" vertical="center"/>
    </xf>
    <xf numFmtId="0" fontId="1" fillId="2" borderId="18" xfId="0" applyFont="1" applyFill="1" applyBorder="1" applyAlignment="1">
      <alignment horizontal="left" vertical="center"/>
    </xf>
    <xf numFmtId="0" fontId="12" fillId="2" borderId="1" xfId="0" applyFont="1" applyFill="1" applyBorder="1" applyAlignment="1">
      <alignment wrapText="1"/>
    </xf>
    <xf numFmtId="0" fontId="11" fillId="2" borderId="1" xfId="0" applyFont="1" applyFill="1" applyBorder="1"/>
    <xf numFmtId="0" fontId="9" fillId="2" borderId="23" xfId="0" applyFont="1" applyFill="1" applyBorder="1" applyAlignment="1">
      <alignment horizontal="left" wrapText="1"/>
    </xf>
    <xf numFmtId="0" fontId="9" fillId="2" borderId="24" xfId="0" applyFont="1" applyFill="1" applyBorder="1" applyAlignment="1">
      <alignment horizontal="left" wrapText="1"/>
    </xf>
    <xf numFmtId="0" fontId="7" fillId="2" borderId="24" xfId="0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 wrapText="1"/>
    </xf>
    <xf numFmtId="0" fontId="7" fillId="2" borderId="5" xfId="0" applyFont="1" applyFill="1" applyBorder="1" applyAlignment="1">
      <alignment vertical="center" wrapText="1"/>
    </xf>
    <xf numFmtId="0" fontId="12" fillId="2" borderId="1" xfId="0" applyFont="1" applyFill="1" applyBorder="1" applyAlignment="1">
      <alignment horizontal="center" wrapText="1"/>
    </xf>
    <xf numFmtId="0" fontId="11" fillId="2" borderId="25" xfId="0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horizontal="center" vertical="center"/>
    </xf>
    <xf numFmtId="0" fontId="11" fillId="2" borderId="5" xfId="0" applyFont="1" applyFill="1" applyBorder="1" applyAlignment="1">
      <alignment vertical="center" wrapText="1"/>
    </xf>
    <xf numFmtId="0" fontId="11" fillId="2" borderId="1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 wrapText="1"/>
    </xf>
    <xf numFmtId="0" fontId="8" fillId="2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vertical="top" wrapText="1"/>
    </xf>
    <xf numFmtId="0" fontId="8" fillId="2" borderId="1" xfId="0" applyFont="1" applyFill="1" applyBorder="1" applyAlignment="1">
      <alignment horizontal="left" vertical="center"/>
    </xf>
    <xf numFmtId="0" fontId="12" fillId="2" borderId="1" xfId="0" applyFont="1" applyFill="1" applyBorder="1"/>
    <xf numFmtId="0" fontId="9" fillId="2" borderId="1" xfId="0" applyFont="1" applyFill="1" applyBorder="1"/>
    <xf numFmtId="15" fontId="1" fillId="2" borderId="1" xfId="0" applyNumberFormat="1" applyFont="1" applyFill="1" applyBorder="1"/>
    <xf numFmtId="0" fontId="4" fillId="2" borderId="5" xfId="0" applyFont="1" applyFill="1" applyBorder="1" applyAlignment="1">
      <alignment horizontal="left" vertical="center"/>
    </xf>
    <xf numFmtId="0" fontId="1" fillId="2" borderId="26" xfId="0" applyFont="1" applyFill="1" applyBorder="1" applyAlignment="1">
      <alignment vertical="top"/>
    </xf>
    <xf numFmtId="0" fontId="4" fillId="2" borderId="5" xfId="0" applyFont="1" applyFill="1" applyBorder="1" applyAlignment="1">
      <alignment vertical="center"/>
    </xf>
    <xf numFmtId="14" fontId="4" fillId="2" borderId="26" xfId="0" applyNumberFormat="1" applyFont="1" applyFill="1" applyBorder="1" applyAlignment="1">
      <alignment horizontal="left"/>
    </xf>
    <xf numFmtId="0" fontId="5" fillId="2" borderId="26" xfId="0" applyFont="1" applyFill="1" applyBorder="1" applyAlignment="1">
      <alignment vertical="top"/>
    </xf>
    <xf numFmtId="0" fontId="5" fillId="2" borderId="1" xfId="0" applyFont="1" applyFill="1" applyBorder="1"/>
    <xf numFmtId="0" fontId="1" fillId="2" borderId="30" xfId="0" applyFont="1" applyFill="1" applyBorder="1"/>
    <xf numFmtId="0" fontId="6" fillId="3" borderId="31" xfId="0" applyFont="1" applyFill="1" applyBorder="1" applyAlignment="1">
      <alignment horizontal="center"/>
    </xf>
    <xf numFmtId="0" fontId="6" fillId="3" borderId="15" xfId="0" applyFont="1" applyFill="1" applyBorder="1" applyAlignment="1">
      <alignment horizontal="center"/>
    </xf>
    <xf numFmtId="0" fontId="6" fillId="3" borderId="15" xfId="0" applyFont="1" applyFill="1" applyBorder="1" applyAlignment="1">
      <alignment horizontal="center" wrapText="1"/>
    </xf>
    <xf numFmtId="0" fontId="6" fillId="3" borderId="22" xfId="0" applyFont="1" applyFill="1" applyBorder="1" applyAlignment="1">
      <alignment horizontal="center"/>
    </xf>
    <xf numFmtId="0" fontId="6" fillId="3" borderId="32" xfId="0" applyFont="1" applyFill="1" applyBorder="1" applyAlignment="1">
      <alignment horizontal="center" wrapText="1"/>
    </xf>
    <xf numFmtId="0" fontId="1" fillId="2" borderId="33" xfId="0" applyFont="1" applyFill="1" applyBorder="1" applyAlignment="1">
      <alignment horizontal="center"/>
    </xf>
    <xf numFmtId="0" fontId="1" fillId="2" borderId="18" xfId="0" applyFont="1" applyFill="1" applyBorder="1"/>
    <xf numFmtId="0" fontId="1" fillId="2" borderId="18" xfId="0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/>
    </xf>
    <xf numFmtId="0" fontId="1" fillId="2" borderId="35" xfId="0" applyFont="1" applyFill="1" applyBorder="1" applyAlignment="1">
      <alignment horizontal="center"/>
    </xf>
    <xf numFmtId="0" fontId="13" fillId="3" borderId="36" xfId="0" applyFont="1" applyFill="1" applyBorder="1" applyAlignment="1">
      <alignment horizontal="center"/>
    </xf>
    <xf numFmtId="0" fontId="6" fillId="3" borderId="20" xfId="0" applyFont="1" applyFill="1" applyBorder="1"/>
    <xf numFmtId="0" fontId="13" fillId="3" borderId="20" xfId="0" applyFont="1" applyFill="1" applyBorder="1" applyAlignment="1">
      <alignment horizontal="center"/>
    </xf>
    <xf numFmtId="0" fontId="13" fillId="3" borderId="37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0" fontId="1" fillId="2" borderId="1" xfId="0" applyNumberFormat="1" applyFont="1" applyFill="1" applyBorder="1" applyAlignment="1">
      <alignment horizontal="center"/>
    </xf>
    <xf numFmtId="9" fontId="1" fillId="2" borderId="1" xfId="0" applyNumberFormat="1" applyFont="1" applyFill="1" applyBorder="1" applyAlignment="1">
      <alignment horizontal="center"/>
    </xf>
    <xf numFmtId="2" fontId="14" fillId="2" borderId="1" xfId="0" applyNumberFormat="1" applyFont="1" applyFill="1" applyBorder="1" applyAlignment="1">
      <alignment horizontal="right" wrapText="1"/>
    </xf>
    <xf numFmtId="0" fontId="6" fillId="3" borderId="39" xfId="0" applyFont="1" applyFill="1" applyBorder="1" applyAlignment="1">
      <alignment horizontal="center" vertical="center" wrapText="1"/>
    </xf>
    <xf numFmtId="0" fontId="6" fillId="3" borderId="40" xfId="0" applyFont="1" applyFill="1" applyBorder="1" applyAlignment="1">
      <alignment horizontal="center" vertical="center" wrapText="1"/>
    </xf>
    <xf numFmtId="0" fontId="6" fillId="3" borderId="41" xfId="0" applyFont="1" applyFill="1" applyBorder="1" applyAlignment="1">
      <alignment horizontal="center" vertical="center" wrapText="1"/>
    </xf>
    <xf numFmtId="0" fontId="15" fillId="6" borderId="38" xfId="0" applyFont="1" applyFill="1" applyBorder="1" applyAlignment="1">
      <alignment vertical="center" wrapText="1"/>
    </xf>
    <xf numFmtId="0" fontId="15" fillId="6" borderId="45" xfId="0" applyFont="1" applyFill="1" applyBorder="1" applyAlignment="1">
      <alignment vertical="center" wrapText="1"/>
    </xf>
    <xf numFmtId="0" fontId="15" fillId="6" borderId="38" xfId="0" applyFont="1" applyFill="1" applyBorder="1" applyAlignment="1">
      <alignment horizontal="center" vertical="center" wrapText="1"/>
    </xf>
    <xf numFmtId="0" fontId="15" fillId="6" borderId="38" xfId="0" applyFont="1" applyFill="1" applyBorder="1" applyAlignment="1">
      <alignment horizontal="center" vertical="top" wrapText="1"/>
    </xf>
    <xf numFmtId="0" fontId="17" fillId="6" borderId="43" xfId="0" applyFont="1" applyFill="1" applyBorder="1" applyAlignment="1">
      <alignment horizontal="center" vertical="top" wrapText="1"/>
    </xf>
    <xf numFmtId="0" fontId="17" fillId="6" borderId="43" xfId="0" applyFont="1" applyFill="1" applyBorder="1" applyAlignment="1">
      <alignment horizontal="center"/>
    </xf>
    <xf numFmtId="0" fontId="15" fillId="6" borderId="45" xfId="0" applyFont="1" applyFill="1" applyBorder="1" applyAlignment="1">
      <alignment horizontal="center" vertical="center" wrapText="1"/>
    </xf>
    <xf numFmtId="0" fontId="15" fillId="6" borderId="45" xfId="0" applyFont="1" applyFill="1" applyBorder="1" applyAlignment="1">
      <alignment horizontal="center" vertical="top" wrapText="1"/>
    </xf>
    <xf numFmtId="0" fontId="17" fillId="6" borderId="46" xfId="0" applyFont="1" applyFill="1" applyBorder="1" applyAlignment="1">
      <alignment horizontal="center" vertical="top" wrapText="1"/>
    </xf>
    <xf numFmtId="0" fontId="17" fillId="6" borderId="42" xfId="0" applyFont="1" applyFill="1" applyBorder="1" applyAlignment="1">
      <alignment horizontal="center" vertical="center" wrapText="1"/>
    </xf>
    <xf numFmtId="0" fontId="17" fillId="6" borderId="44" xfId="0" applyFont="1" applyFill="1" applyBorder="1" applyAlignment="1">
      <alignment horizontal="center" vertical="center" wrapText="1"/>
    </xf>
    <xf numFmtId="0" fontId="16" fillId="0" borderId="4" xfId="0" applyFont="1" applyBorder="1"/>
    <xf numFmtId="15" fontId="6" fillId="3" borderId="47" xfId="0" applyNumberFormat="1" applyFont="1" applyFill="1" applyBorder="1" applyAlignment="1">
      <alignment horizontal="center" vertical="center"/>
    </xf>
    <xf numFmtId="0" fontId="6" fillId="3" borderId="48" xfId="0" applyFont="1" applyFill="1" applyBorder="1" applyAlignment="1">
      <alignment horizontal="center" vertical="center"/>
    </xf>
    <xf numFmtId="0" fontId="6" fillId="3" borderId="49" xfId="0" applyFont="1" applyFill="1" applyBorder="1" applyAlignment="1">
      <alignment horizontal="center" vertical="center"/>
    </xf>
    <xf numFmtId="14" fontId="5" fillId="0" borderId="38" xfId="0" applyNumberFormat="1" applyFont="1" applyBorder="1" applyAlignment="1">
      <alignment vertical="top" wrapText="1"/>
    </xf>
    <xf numFmtId="49" fontId="1" fillId="0" borderId="38" xfId="0" applyNumberFormat="1" applyFont="1" applyBorder="1" applyAlignment="1">
      <alignment vertical="top"/>
    </xf>
    <xf numFmtId="0" fontId="1" fillId="0" borderId="38" xfId="0" applyFont="1" applyBorder="1" applyAlignment="1">
      <alignment vertical="top"/>
    </xf>
    <xf numFmtId="0" fontId="18" fillId="0" borderId="38" xfId="0" applyFont="1" applyBorder="1" applyAlignment="1">
      <alignment vertical="top" wrapText="1"/>
    </xf>
    <xf numFmtId="0" fontId="19" fillId="2" borderId="26" xfId="0" applyFont="1" applyFill="1" applyBorder="1" applyAlignment="1">
      <alignment horizontal="left"/>
    </xf>
    <xf numFmtId="0" fontId="2" fillId="0" borderId="2" xfId="0" applyFont="1" applyBorder="1" applyAlignment="1">
      <alignment horizontal="center" vertical="center"/>
    </xf>
    <xf numFmtId="0" fontId="3" fillId="0" borderId="3" xfId="0" applyFont="1" applyBorder="1"/>
    <xf numFmtId="0" fontId="3" fillId="0" borderId="4" xfId="0" applyFont="1" applyBorder="1"/>
    <xf numFmtId="0" fontId="5" fillId="0" borderId="2" xfId="0" applyFont="1" applyBorder="1" applyAlignment="1">
      <alignment horizontal="left"/>
    </xf>
    <xf numFmtId="0" fontId="4" fillId="2" borderId="6" xfId="0" applyFont="1" applyFill="1" applyBorder="1" applyAlignment="1">
      <alignment horizontal="left" vertical="center"/>
    </xf>
    <xf numFmtId="0" fontId="3" fillId="0" borderId="10" xfId="0" applyFont="1" applyBorder="1"/>
    <xf numFmtId="0" fontId="5" fillId="0" borderId="7" xfId="0" applyFont="1" applyBorder="1" applyAlignment="1">
      <alignment horizontal="left" vertical="center"/>
    </xf>
    <xf numFmtId="0" fontId="3" fillId="0" borderId="8" xfId="0" applyFont="1" applyBorder="1"/>
    <xf numFmtId="0" fontId="3" fillId="0" borderId="9" xfId="0" applyFont="1" applyBorder="1"/>
    <xf numFmtId="0" fontId="3" fillId="0" borderId="11" xfId="0" applyFont="1" applyBorder="1"/>
    <xf numFmtId="0" fontId="3" fillId="0" borderId="12" xfId="0" applyFont="1" applyBorder="1"/>
    <xf numFmtId="0" fontId="3" fillId="0" borderId="13" xfId="0" applyFont="1" applyBorder="1"/>
    <xf numFmtId="1" fontId="4" fillId="2" borderId="2" xfId="0" applyNumberFormat="1" applyFont="1" applyFill="1" applyBorder="1"/>
    <xf numFmtId="0" fontId="3" fillId="0" borderId="21" xfId="0" applyFont="1" applyBorder="1"/>
    <xf numFmtId="0" fontId="5" fillId="2" borderId="2" xfId="0" applyFont="1" applyFill="1" applyBorder="1" applyAlignment="1">
      <alignment horizontal="left"/>
    </xf>
    <xf numFmtId="1" fontId="4" fillId="2" borderId="2" xfId="0" applyNumberFormat="1" applyFont="1" applyFill="1" applyBorder="1" applyAlignment="1">
      <alignment vertical="center" wrapText="1"/>
    </xf>
    <xf numFmtId="0" fontId="18" fillId="2" borderId="2" xfId="0" applyFont="1" applyFill="1" applyBorder="1" applyAlignment="1">
      <alignment vertical="top" wrapText="1"/>
    </xf>
    <xf numFmtId="0" fontId="18" fillId="2" borderId="2" xfId="0" applyFont="1" applyFill="1" applyBorder="1" applyAlignment="1">
      <alignment horizontal="left" vertical="center" wrapText="1"/>
    </xf>
    <xf numFmtId="0" fontId="5" fillId="2" borderId="2" xfId="0" applyFont="1" applyFill="1" applyBorder="1" applyAlignment="1">
      <alignment horizontal="left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11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left"/>
    </xf>
    <xf numFmtId="0" fontId="5" fillId="2" borderId="2" xfId="0" applyFont="1" applyFill="1" applyBorder="1" applyAlignment="1">
      <alignment vertical="top" wrapText="1"/>
    </xf>
    <xf numFmtId="0" fontId="2" fillId="2" borderId="27" xfId="0" applyFont="1" applyFill="1" applyBorder="1" applyAlignment="1">
      <alignment horizontal="center"/>
    </xf>
    <xf numFmtId="0" fontId="3" fillId="0" borderId="28" xfId="0" applyFont="1" applyBorder="1"/>
    <xf numFmtId="0" fontId="3" fillId="0" borderId="29" xfId="0" applyFont="1" applyBorder="1"/>
    <xf numFmtId="0" fontId="0" fillId="0" borderId="50" xfId="0" applyBorder="1"/>
    <xf numFmtId="0" fontId="15" fillId="0" borderId="50" xfId="0" applyFont="1" applyBorder="1" applyAlignment="1">
      <alignment vertical="center" wrapText="1"/>
    </xf>
    <xf numFmtId="0" fontId="21" fillId="5" borderId="50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0" fillId="0" borderId="50" xfId="0" applyFont="1" applyBorder="1" applyAlignment="1">
      <alignment horizontal="left" vertical="center" wrapText="1"/>
    </xf>
    <xf numFmtId="0" fontId="15" fillId="0" borderId="50" xfId="0" applyFont="1" applyBorder="1" applyAlignment="1">
      <alignment horizontal="left" vertical="center" wrapText="1"/>
    </xf>
    <xf numFmtId="0" fontId="0" fillId="0" borderId="50" xfId="0" applyBorder="1" applyAlignment="1">
      <alignment horizontal="left"/>
    </xf>
    <xf numFmtId="0" fontId="0" fillId="0" borderId="0" xfId="0" applyAlignment="1">
      <alignment horizontal="left"/>
    </xf>
    <xf numFmtId="0" fontId="6" fillId="3" borderId="52" xfId="0" applyFont="1" applyFill="1" applyBorder="1" applyAlignment="1">
      <alignment horizontal="center" vertical="center" wrapText="1"/>
    </xf>
    <xf numFmtId="0" fontId="6" fillId="3" borderId="53" xfId="0" applyFont="1" applyFill="1" applyBorder="1" applyAlignment="1">
      <alignment horizontal="center" vertical="center" wrapText="1"/>
    </xf>
    <xf numFmtId="0" fontId="6" fillId="3" borderId="51" xfId="0" applyFont="1" applyFill="1" applyBorder="1" applyAlignment="1">
      <alignment horizontal="center" vertical="center" wrapText="1"/>
    </xf>
    <xf numFmtId="0" fontId="20" fillId="0" borderId="54" xfId="0" applyFont="1" applyBorder="1" applyAlignment="1">
      <alignment vertical="center" wrapText="1"/>
    </xf>
    <xf numFmtId="14" fontId="15" fillId="0" borderId="50" xfId="0" applyNumberFormat="1" applyFont="1" applyBorder="1" applyAlignment="1">
      <alignment vertical="center" wrapText="1"/>
    </xf>
    <xf numFmtId="0" fontId="15" fillId="0" borderId="55" xfId="0" applyFont="1" applyBorder="1" applyAlignment="1">
      <alignment vertical="center" wrapText="1"/>
    </xf>
    <xf numFmtId="0" fontId="20" fillId="0" borderId="56" xfId="0" applyFont="1" applyBorder="1" applyAlignment="1">
      <alignment vertical="center" wrapText="1"/>
    </xf>
    <xf numFmtId="0" fontId="15" fillId="0" borderId="57" xfId="0" applyFont="1" applyBorder="1" applyAlignment="1">
      <alignment vertical="center" wrapText="1"/>
    </xf>
    <xf numFmtId="14" fontId="15" fillId="0" borderId="57" xfId="0" applyNumberFormat="1" applyFont="1" applyBorder="1" applyAlignment="1">
      <alignment vertical="center" wrapText="1"/>
    </xf>
    <xf numFmtId="0" fontId="15" fillId="0" borderId="58" xfId="0" applyFont="1" applyBorder="1" applyAlignment="1">
      <alignment vertical="center" wrapText="1"/>
    </xf>
    <xf numFmtId="49" fontId="16" fillId="2" borderId="18" xfId="0" applyNumberFormat="1" applyFont="1" applyFill="1" applyBorder="1" applyAlignment="1">
      <alignment horizontal="left" vertical="center"/>
    </xf>
    <xf numFmtId="0" fontId="23" fillId="2" borderId="18" xfId="0" applyFont="1" applyFill="1" applyBorder="1" applyAlignment="1">
      <alignment horizontal="left" vertical="center"/>
    </xf>
  </cellXfs>
  <cellStyles count="1">
    <cellStyle name="Normal" xfId="0" builtinId="0"/>
  </cellStyles>
  <dxfs count="33">
    <dxf>
      <border diagonalUp="0" diagonalDown="0">
        <left style="dotted">
          <color indexed="64"/>
        </left>
        <right style="dotted">
          <color indexed="64"/>
        </right>
        <top/>
        <bottom/>
        <vertical style="dotted">
          <color indexed="64"/>
        </vertical>
        <horizontal style="dotted">
          <color indexed="64"/>
        </horizontal>
      </border>
    </dxf>
    <dxf>
      <border diagonalUp="0" diagonalDown="0">
        <left style="dotted">
          <color indexed="64"/>
        </left>
        <right style="dotted">
          <color indexed="64"/>
        </right>
        <top/>
        <bottom/>
        <vertical style="dotted">
          <color indexed="64"/>
        </vertical>
        <horizontal style="dotted">
          <color indexed="64"/>
        </horizontal>
      </border>
    </dxf>
    <dxf>
      <font>
        <b val="0"/>
      </font>
      <border diagonalUp="0" diagonalDown="0">
        <left style="dotted">
          <color indexed="64"/>
        </left>
        <right/>
        <top style="dotted">
          <color indexed="64"/>
        </top>
        <bottom style="dotted">
          <color indexed="64"/>
        </bottom>
        <vertical style="dotted">
          <color indexed="64"/>
        </vertical>
        <horizontal style="dotted">
          <color indexed="64"/>
        </horizontal>
      </border>
    </dxf>
    <dxf>
      <font>
        <b val="0"/>
      </font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 style="dotted">
          <color indexed="64"/>
        </vertical>
        <horizontal style="dotted">
          <color indexed="64"/>
        </horizontal>
      </border>
    </dxf>
    <dxf>
      <font>
        <b val="0"/>
      </font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 style="dotted">
          <color indexed="64"/>
        </vertical>
        <horizontal style="dotted">
          <color indexed="64"/>
        </horizontal>
      </border>
    </dxf>
    <dxf>
      <font>
        <b val="0"/>
      </font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 style="dotted">
          <color indexed="64"/>
        </vertical>
        <horizontal style="dotted">
          <color indexed="64"/>
        </horizontal>
      </border>
    </dxf>
    <dxf>
      <font>
        <b val="0"/>
      </font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 style="dotted">
          <color indexed="64"/>
        </vertical>
        <horizontal style="dotted">
          <color indexed="64"/>
        </horizontal>
      </border>
    </dxf>
    <dxf>
      <font>
        <b val="0"/>
      </font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 style="dotted">
          <color indexed="64"/>
        </vertical>
        <horizontal style="dotted">
          <color indexed="64"/>
        </horizontal>
      </border>
    </dxf>
    <dxf>
      <font>
        <b val="0"/>
      </font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 style="dotted">
          <color indexed="64"/>
        </vertical>
        <horizontal style="dotted">
          <color indexed="64"/>
        </horizontal>
      </border>
    </dxf>
    <dxf>
      <border diagonalUp="0" diagonalDown="0">
        <left/>
        <right style="dotted">
          <color indexed="64"/>
        </right>
        <top style="dotted">
          <color indexed="64"/>
        </top>
        <bottom style="dotted">
          <color indexed="64"/>
        </bottom>
        <vertical style="dotted">
          <color indexed="64"/>
        </vertical>
        <horizontal style="dotted">
          <color indexed="64"/>
        </horizontal>
      </border>
    </dxf>
    <dxf>
      <border>
        <bottom style="dotted">
          <color indexed="64"/>
        </bottom>
      </border>
    </dxf>
    <dxf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strike val="0"/>
        <outline val="0"/>
        <shadow val="0"/>
        <u val="none"/>
        <vertAlign val="baseline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textRotation="0" indent="0" justifyLastLine="0" shrinkToFit="0" readingOrder="0"/>
      <border diagonalUp="0" diagonalDown="0" outline="0">
        <left style="hair">
          <color indexed="64"/>
        </left>
        <right/>
        <top style="hair">
          <color indexed="64"/>
        </top>
        <bottom style="hair">
          <color indexed="64"/>
        </bottom>
      </border>
    </dxf>
    <dxf>
      <font>
        <b val="0"/>
        <strike val="0"/>
        <outline val="0"/>
        <shadow val="0"/>
        <u val="none"/>
        <vertAlign val="baseline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 val="0"/>
        <strike val="0"/>
        <outline val="0"/>
        <shadow val="0"/>
        <u val="none"/>
        <vertAlign val="baseline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 val="0"/>
        <strike val="0"/>
        <outline val="0"/>
        <shadow val="0"/>
        <u val="none"/>
        <vertAlign val="baseline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 val="0"/>
        <strike val="0"/>
        <outline val="0"/>
        <shadow val="0"/>
        <u val="none"/>
        <vertAlign val="baseline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 val="0"/>
        <strike val="0"/>
        <outline val="0"/>
        <shadow val="0"/>
        <u val="none"/>
        <vertAlign val="baseline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 style="hair">
          <color indexed="64"/>
        </vertical>
        <horizontal style="hair">
          <color indexed="64"/>
        </horizontal>
      </border>
    </dxf>
    <dxf>
      <font>
        <b val="0"/>
        <strike val="0"/>
        <outline val="0"/>
        <shadow val="0"/>
        <u val="none"/>
        <vertAlign val="baseline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 outline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 val="0"/>
        <strike val="0"/>
        <outline val="0"/>
        <shadow val="0"/>
        <u val="none"/>
        <vertAlign val="baseline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 diagonalUp="0" diagonalDown="0">
        <left style="hair">
          <color indexed="64"/>
        </left>
        <right style="hair">
          <color indexed="64"/>
        </right>
        <top/>
        <bottom/>
        <vertical style="hair">
          <color indexed="64"/>
        </vertical>
        <horizontal style="hair">
          <color indexed="64"/>
        </horizontal>
      </border>
    </dxf>
    <dxf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 val="0"/>
        <strike val="0"/>
        <outline val="0"/>
        <shadow val="0"/>
        <u val="none"/>
        <vertAlign val="baseline"/>
        <name val="Arial"/>
        <family val="2"/>
        <scheme val="none"/>
      </font>
      <fill>
        <patternFill patternType="solid">
          <fgColor indexed="64"/>
          <bgColor theme="0"/>
        </patternFill>
      </fill>
    </dxf>
    <dxf>
      <border>
        <bottom style="hair">
          <color indexed="64"/>
        </bottom>
      </border>
    </dxf>
    <dxf>
      <border diagonalUp="0" diagonalDown="0">
        <left style="hair">
          <color indexed="64"/>
        </left>
        <right style="hair">
          <color indexed="64"/>
        </right>
        <top/>
        <bottom/>
        <vertical style="hair">
          <color indexed="64"/>
        </vertical>
        <horizontal style="hair">
          <color indexed="64"/>
        </horizontal>
      </border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4"/>
          <bgColor theme="4"/>
        </patternFill>
      </fill>
    </dxf>
  </dxfs>
  <tableStyles count="2">
    <tableStyle name="Login-Logout-style" pivot="0" count="4" xr9:uid="{00000000-0011-0000-FFFF-FFFF00000000}">
      <tableStyleElement type="headerRow" dxfId="32"/>
      <tableStyleElement type="totalRow" dxfId="31"/>
      <tableStyleElement type="firstRowStripe" dxfId="30"/>
      <tableStyleElement type="secondRowStripe" dxfId="29"/>
    </tableStyle>
    <tableStyle name="List Organisation-style" pivot="0" count="4" xr9:uid="{00000000-0011-0000-FFFF-FFFF01000000}">
      <tableStyleElement type="headerRow" dxfId="28"/>
      <tableStyleElement type="totalRow" dxfId="27"/>
      <tableStyleElement type="firstRowStripe" dxfId="26"/>
      <tableStyleElement type="secondRowStripe" dxfId="2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18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17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9" Type="http://schemas.microsoft.com/office/2017/06/relationships/rdRichValueTypes" Target="richData/rdRichValueType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6</v>
    <v>8</v>
    <v>0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F39901E-9FBF-4FF2-922D-540C92F3F27F}" name="Table_14" displayName="Table_14" ref="A8:H38" headerRowDxfId="24" dataDxfId="22" totalsRowDxfId="20" headerRowBorderDxfId="23" tableBorderDxfId="21">
  <tableColumns count="8">
    <tableColumn id="1" xr3:uid="{39883C5E-D0E2-4DCA-95A7-5703046CBC73}" name="ID" dataDxfId="19">
      <calculatedColumnFormula>IF(OR(B9&lt;&gt;"",D9&lt;&gt;""),"["&amp;TEXT($B$2,"##")&amp;"-"&amp;TEXT(ROW()-8,"##")&amp;"]","")</calculatedColumnFormula>
    </tableColumn>
    <tableColumn id="2" xr3:uid="{7845725A-8D9E-4E8A-AE4D-FD70332D6406}" name="Test Case Description" dataDxfId="18"/>
    <tableColumn id="3" xr3:uid="{4B648324-BD5E-4A5F-871B-EFDA8B131628}" name="Test Case Procedure" dataDxfId="17"/>
    <tableColumn id="4" xr3:uid="{C9A9CA28-495E-4260-8F0F-0FC9365D447B}" name="Expected Output" dataDxfId="16"/>
    <tableColumn id="5" xr3:uid="{E0B217F6-9EDE-4929-94ED-33976A496315}" name="Inter-test case Dependence" dataDxfId="15"/>
    <tableColumn id="6" xr3:uid="{22E83CA0-CF01-4BE6-93A7-9732E5BA7E4D}" name="Result" dataDxfId="14"/>
    <tableColumn id="7" xr3:uid="{CAF36FF9-E9B8-417A-8783-E1EEC28E5F7C}" name="Test date" dataDxfId="13"/>
    <tableColumn id="8" xr3:uid="{056B3105-CCC5-4E1A-8BAE-19F1DAF196F5}" name="Note" dataDxfId="12"/>
  </tableColumns>
  <tableStyleInfo name="Login-Logout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44193CE-373C-4955-9E7A-AAD1CBE733C4}" name="Table_142" displayName="Table_142" ref="A8:H33" headerRowDxfId="1" totalsRowDxfId="0" headerRowBorderDxfId="10" tableBorderDxfId="11">
  <tableColumns count="8">
    <tableColumn id="1" xr3:uid="{9099768A-5CC8-4FCC-80BC-0C3E0163C98A}" name="ID" dataDxfId="9"/>
    <tableColumn id="2" xr3:uid="{7F604054-A1C8-4C5D-BC74-1775F81F3FDA}" name="Test Case Description" dataDxfId="8"/>
    <tableColumn id="3" xr3:uid="{FD6FA63B-F9A8-486E-ABE5-817C81DCF226}" name="Test Case Procedure" dataDxfId="7"/>
    <tableColumn id="4" xr3:uid="{C9BC14FD-B3FC-4370-A858-22D53672DD64}" name="Expected Output" dataDxfId="6"/>
    <tableColumn id="5" xr3:uid="{66127BC4-218F-4DF8-A985-35FFC9EE7B1F}" name="Inter-test case Dependence" dataDxfId="5"/>
    <tableColumn id="6" xr3:uid="{9E271E3F-2769-4A93-88B0-1321DC8362C8}" name="Result" dataDxfId="4"/>
    <tableColumn id="7" xr3:uid="{16B32ED0-C708-4A5B-95F4-B0596828E0FF}" name="Test date" dataDxfId="3"/>
    <tableColumn id="8" xr3:uid="{8449641F-11DC-4629-AE73-F4D2D83BDBC3}" name="Note" dataDxfId="2"/>
  </tableColumns>
  <tableStyleInfo name="Login-Logout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G12"/>
  <sheetViews>
    <sheetView workbookViewId="0">
      <selection activeCell="F12" sqref="F12"/>
    </sheetView>
  </sheetViews>
  <sheetFormatPr defaultColWidth="14.44140625" defaultRowHeight="15" customHeight="1" x14ac:dyDescent="0.3"/>
  <cols>
    <col min="1" max="1" width="2.5546875" customWidth="1"/>
    <col min="2" max="2" width="22.44140625" customWidth="1"/>
    <col min="3" max="3" width="10.33203125" customWidth="1"/>
    <col min="4" max="4" width="16.5546875" customWidth="1"/>
    <col min="5" max="5" width="16.44140625" customWidth="1"/>
    <col min="6" max="6" width="35.5546875" customWidth="1"/>
    <col min="7" max="7" width="35.44140625" customWidth="1"/>
    <col min="8" max="26" width="9.109375" customWidth="1"/>
  </cols>
  <sheetData>
    <row r="2" spans="2:7" ht="75.75" customHeight="1" x14ac:dyDescent="0.3">
      <c r="B2" s="95" t="s">
        <v>0</v>
      </c>
      <c r="C2" s="96"/>
      <c r="D2" s="96"/>
      <c r="E2" s="96"/>
      <c r="F2" s="96"/>
      <c r="G2" s="97"/>
    </row>
    <row r="3" spans="2:7" ht="12.75" customHeight="1" x14ac:dyDescent="0.3">
      <c r="B3" s="3"/>
      <c r="C3" s="4"/>
      <c r="D3" s="1"/>
      <c r="E3" s="1"/>
      <c r="F3" s="5"/>
      <c r="G3" s="1"/>
    </row>
    <row r="4" spans="2:7" ht="14.25" customHeight="1" x14ac:dyDescent="0.3">
      <c r="B4" s="6" t="s">
        <v>1</v>
      </c>
      <c r="C4" s="98" t="s">
        <v>62</v>
      </c>
      <c r="D4" s="96"/>
      <c r="E4" s="97"/>
      <c r="F4" s="6" t="s">
        <v>2</v>
      </c>
      <c r="G4" s="86" t="s">
        <v>63</v>
      </c>
    </row>
    <row r="5" spans="2:7" ht="14.25" customHeight="1" x14ac:dyDescent="0.3">
      <c r="B5" s="6" t="s">
        <v>3</v>
      </c>
      <c r="C5" s="98" t="s">
        <v>62</v>
      </c>
      <c r="D5" s="96"/>
      <c r="E5" s="97"/>
      <c r="F5" s="6" t="s">
        <v>4</v>
      </c>
      <c r="G5" s="86" t="s">
        <v>157</v>
      </c>
    </row>
    <row r="6" spans="2:7" ht="15.75" customHeight="1" x14ac:dyDescent="0.3">
      <c r="B6" s="99" t="s">
        <v>5</v>
      </c>
      <c r="C6" s="101" t="str">
        <f>C5&amp;"_TestCase_V0.1"</f>
        <v>group02-mahocommerce-testing_TestCase_V0.1</v>
      </c>
      <c r="D6" s="102"/>
      <c r="E6" s="103"/>
      <c r="F6" s="6" t="s">
        <v>6</v>
      </c>
      <c r="G6" s="7">
        <v>46316</v>
      </c>
    </row>
    <row r="7" spans="2:7" ht="13.5" customHeight="1" x14ac:dyDescent="0.3">
      <c r="B7" s="100"/>
      <c r="C7" s="104"/>
      <c r="D7" s="105"/>
      <c r="E7" s="106"/>
      <c r="F7" s="6" t="s">
        <v>7</v>
      </c>
      <c r="G7" s="8">
        <v>0.1</v>
      </c>
    </row>
    <row r="8" spans="2:7" ht="12.75" customHeight="1" x14ac:dyDescent="0.3">
      <c r="B8" s="9"/>
      <c r="C8" s="4"/>
      <c r="D8" s="1"/>
      <c r="E8" s="1"/>
      <c r="F8" s="3"/>
      <c r="G8" s="4"/>
    </row>
    <row r="9" spans="2:7" ht="12.75" customHeight="1" x14ac:dyDescent="0.3">
      <c r="B9" s="2"/>
      <c r="C9" s="1"/>
      <c r="D9" s="1"/>
      <c r="E9" s="1"/>
      <c r="F9" s="1"/>
      <c r="G9" s="1"/>
    </row>
    <row r="10" spans="2:7" ht="12.75" customHeight="1" x14ac:dyDescent="0.3">
      <c r="B10" s="10" t="s">
        <v>8</v>
      </c>
      <c r="C10" s="1"/>
      <c r="D10" s="1"/>
      <c r="E10" s="1"/>
      <c r="F10" s="1"/>
      <c r="G10" s="1"/>
    </row>
    <row r="11" spans="2:7" ht="12.75" customHeight="1" x14ac:dyDescent="0.3">
      <c r="B11" s="87" t="s">
        <v>9</v>
      </c>
      <c r="C11" s="88" t="s">
        <v>7</v>
      </c>
      <c r="D11" s="88" t="s">
        <v>10</v>
      </c>
      <c r="E11" s="88" t="s">
        <v>11</v>
      </c>
      <c r="F11" s="88" t="s">
        <v>12</v>
      </c>
      <c r="G11" s="89" t="s">
        <v>13</v>
      </c>
    </row>
    <row r="12" spans="2:7" ht="25.5" customHeight="1" x14ac:dyDescent="0.3">
      <c r="B12" s="90">
        <v>46316</v>
      </c>
      <c r="C12" s="91" t="s">
        <v>14</v>
      </c>
      <c r="D12" s="92"/>
      <c r="E12" s="92" t="s">
        <v>15</v>
      </c>
      <c r="F12" s="92" t="s">
        <v>16</v>
      </c>
      <c r="G12" s="93" t="s">
        <v>17</v>
      </c>
    </row>
  </sheetData>
  <mergeCells count="5">
    <mergeCell ref="B2:G2"/>
    <mergeCell ref="C4:E4"/>
    <mergeCell ref="C5:E5"/>
    <mergeCell ref="B6:B7"/>
    <mergeCell ref="C6:E7"/>
  </mergeCells>
  <pageMargins left="0.7" right="0.7" top="0.75" bottom="0.75" header="0" footer="0"/>
  <pageSetup orientation="landscape"/>
  <headerFooter>
    <oddFooter>&amp;L 02ae-BM/PM/HDCV/FSOFT v2/0&amp;CInternal use&amp;R&amp;P/</oddFooter>
  </headerFooter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F10"/>
  <sheetViews>
    <sheetView workbookViewId="0">
      <selection activeCell="D10" sqref="D10"/>
    </sheetView>
  </sheetViews>
  <sheetFormatPr defaultColWidth="14.44140625" defaultRowHeight="15" customHeight="1" x14ac:dyDescent="0.3"/>
  <cols>
    <col min="1" max="1" width="1.5546875" customWidth="1"/>
    <col min="2" max="2" width="13.44140625" customWidth="1"/>
    <col min="3" max="3" width="30.33203125" customWidth="1"/>
    <col min="4" max="4" width="19.5546875" customWidth="1"/>
    <col min="5" max="5" width="32.109375" customWidth="1"/>
    <col min="6" max="6" width="35" customWidth="1"/>
    <col min="7" max="26" width="9.109375" customWidth="1"/>
  </cols>
  <sheetData>
    <row r="1" spans="2:6" ht="25.5" customHeight="1" x14ac:dyDescent="0.4">
      <c r="B1" s="11"/>
      <c r="C1" s="12"/>
      <c r="D1" s="13" t="s">
        <v>18</v>
      </c>
      <c r="E1" s="14"/>
      <c r="F1" s="12"/>
    </row>
    <row r="2" spans="2:6" ht="13.5" customHeight="1" x14ac:dyDescent="0.3">
      <c r="B2" s="11"/>
      <c r="C2" s="12"/>
      <c r="D2" s="15"/>
      <c r="E2" s="15"/>
      <c r="F2" s="12"/>
    </row>
    <row r="3" spans="2:6" ht="12.75" customHeight="1" x14ac:dyDescent="0.3">
      <c r="B3" s="107" t="s">
        <v>1</v>
      </c>
      <c r="C3" s="108"/>
      <c r="D3" s="109" t="str">
        <f>Cover!C4</f>
        <v>group02-mahocommerce-testing</v>
      </c>
      <c r="E3" s="96"/>
      <c r="F3" s="97"/>
    </row>
    <row r="4" spans="2:6" ht="12.75" customHeight="1" x14ac:dyDescent="0.3">
      <c r="B4" s="107" t="s">
        <v>3</v>
      </c>
      <c r="C4" s="108"/>
      <c r="D4" s="109" t="str">
        <f>Cover!C5</f>
        <v>group02-mahocommerce-testing</v>
      </c>
      <c r="E4" s="96"/>
      <c r="F4" s="97"/>
    </row>
    <row r="5" spans="2:6" ht="84.75" customHeight="1" x14ac:dyDescent="0.3">
      <c r="B5" s="110" t="s">
        <v>19</v>
      </c>
      <c r="C5" s="97"/>
      <c r="D5" s="111" t="s">
        <v>158</v>
      </c>
      <c r="E5" s="96"/>
      <c r="F5" s="97"/>
    </row>
    <row r="6" spans="2:6" ht="12.75" customHeight="1" x14ac:dyDescent="0.3">
      <c r="B6" s="16"/>
      <c r="C6" s="5"/>
      <c r="D6" s="5"/>
      <c r="E6" s="5"/>
      <c r="F6" s="5"/>
    </row>
    <row r="7" spans="2:6" ht="12.75" customHeight="1" x14ac:dyDescent="0.3">
      <c r="B7" s="17"/>
      <c r="C7" s="18"/>
      <c r="D7" s="18"/>
      <c r="E7" s="18"/>
      <c r="F7" s="18"/>
    </row>
    <row r="8" spans="2:6" ht="21" customHeight="1" x14ac:dyDescent="0.3">
      <c r="B8" s="19" t="s">
        <v>20</v>
      </c>
      <c r="C8" s="20" t="s">
        <v>21</v>
      </c>
      <c r="D8" s="20" t="s">
        <v>22</v>
      </c>
      <c r="E8" s="21" t="s">
        <v>23</v>
      </c>
      <c r="F8" s="22" t="s">
        <v>24</v>
      </c>
    </row>
    <row r="9" spans="2:6" ht="13.5" customHeight="1" x14ac:dyDescent="0.3">
      <c r="B9" s="23">
        <v>1</v>
      </c>
      <c r="C9" s="139" t="s">
        <v>349</v>
      </c>
      <c r="D9" s="140" t="s">
        <v>349</v>
      </c>
      <c r="E9" s="24"/>
      <c r="F9" s="25"/>
    </row>
    <row r="10" spans="2:6" ht="12.75" customHeight="1" x14ac:dyDescent="0.3">
      <c r="B10" s="23"/>
      <c r="C10" s="26" t="s">
        <v>25</v>
      </c>
      <c r="D10" s="24"/>
      <c r="E10" s="27"/>
      <c r="F10" s="25"/>
    </row>
  </sheetData>
  <mergeCells count="6">
    <mergeCell ref="B3:C3"/>
    <mergeCell ref="D3:F3"/>
    <mergeCell ref="B4:C4"/>
    <mergeCell ref="D4:F4"/>
    <mergeCell ref="B5:C5"/>
    <mergeCell ref="D5:F5"/>
  </mergeCells>
  <pageMargins left="0.7" right="0.7" top="0.75" bottom="0.75" header="0" footer="0"/>
  <pageSetup orientation="landscape"/>
  <headerFooter>
    <oddFooter>&amp;L 02ae-BM/PM/HDCV/FSOFT v2/0&amp;CInternal use&amp;R&amp;P/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D3C55-F8D0-4297-900D-7F348FEC9E01}">
  <dimension ref="A1:F52"/>
  <sheetViews>
    <sheetView zoomScale="85" zoomScaleNormal="85" workbookViewId="0">
      <selection activeCell="D17" sqref="D17"/>
    </sheetView>
  </sheetViews>
  <sheetFormatPr defaultColWidth="14.44140625" defaultRowHeight="15" customHeight="1" x14ac:dyDescent="0.3"/>
  <cols>
    <col min="1" max="1" width="25.6640625" style="128" bestFit="1" customWidth="1"/>
    <col min="2" max="2" width="36.109375" style="128" customWidth="1"/>
    <col min="3" max="3" width="36.5546875" style="128" bestFit="1" customWidth="1"/>
    <col min="4" max="4" width="88.88671875" customWidth="1"/>
    <col min="5" max="5" width="14" bestFit="1" customWidth="1"/>
    <col min="6" max="6" width="31.44140625" customWidth="1"/>
    <col min="7" max="26" width="9.109375" customWidth="1"/>
  </cols>
  <sheetData>
    <row r="1" spans="1:6" s="124" customFormat="1" ht="25.5" customHeight="1" x14ac:dyDescent="0.3">
      <c r="A1" s="123" t="s">
        <v>26</v>
      </c>
      <c r="B1" s="123" t="s">
        <v>27</v>
      </c>
      <c r="C1" s="123" t="s">
        <v>28</v>
      </c>
      <c r="D1" s="123" t="s">
        <v>29</v>
      </c>
      <c r="E1" s="123" t="s">
        <v>30</v>
      </c>
      <c r="F1" s="123" t="s">
        <v>31</v>
      </c>
    </row>
    <row r="2" spans="1:6" ht="42" customHeight="1" x14ac:dyDescent="0.3">
      <c r="A2" s="125" t="s">
        <v>159</v>
      </c>
      <c r="B2" s="125" t="s">
        <v>160</v>
      </c>
      <c r="C2" s="125" t="s">
        <v>161</v>
      </c>
      <c r="D2" s="122" t="s">
        <v>162</v>
      </c>
      <c r="E2" s="122" t="s">
        <v>32</v>
      </c>
      <c r="F2" s="122" t="s">
        <v>163</v>
      </c>
    </row>
    <row r="3" spans="1:6" ht="14.4" x14ac:dyDescent="0.3">
      <c r="A3" s="126"/>
      <c r="B3" s="126"/>
      <c r="C3" s="126"/>
      <c r="D3" s="122" t="s">
        <v>164</v>
      </c>
      <c r="E3" s="122" t="s">
        <v>32</v>
      </c>
      <c r="F3" s="122" t="s">
        <v>165</v>
      </c>
    </row>
    <row r="4" spans="1:6" ht="14.4" x14ac:dyDescent="0.3">
      <c r="A4" s="126"/>
      <c r="B4" s="126"/>
      <c r="C4" s="126"/>
      <c r="D4" s="122" t="s">
        <v>166</v>
      </c>
      <c r="E4" s="122" t="s">
        <v>32</v>
      </c>
      <c r="F4" s="122" t="s">
        <v>167</v>
      </c>
    </row>
    <row r="5" spans="1:6" ht="27.6" x14ac:dyDescent="0.3">
      <c r="A5" s="126"/>
      <c r="B5" s="126"/>
      <c r="C5" s="125" t="s">
        <v>168</v>
      </c>
      <c r="D5" s="122" t="s">
        <v>169</v>
      </c>
      <c r="E5" s="122" t="s">
        <v>32</v>
      </c>
      <c r="F5" s="122" t="s">
        <v>170</v>
      </c>
    </row>
    <row r="6" spans="1:6" ht="14.4" x14ac:dyDescent="0.3">
      <c r="A6" s="126"/>
      <c r="B6" s="126"/>
      <c r="C6" s="126"/>
      <c r="D6" s="122" t="s">
        <v>171</v>
      </c>
      <c r="E6" s="122" t="s">
        <v>32</v>
      </c>
      <c r="F6" s="122" t="s">
        <v>172</v>
      </c>
    </row>
    <row r="7" spans="1:6" ht="14.4" x14ac:dyDescent="0.3">
      <c r="A7" s="126"/>
      <c r="B7" s="126"/>
      <c r="C7" s="126"/>
      <c r="D7" s="122" t="s">
        <v>173</v>
      </c>
      <c r="E7" s="122" t="s">
        <v>32</v>
      </c>
      <c r="F7" s="122" t="s">
        <v>174</v>
      </c>
    </row>
    <row r="8" spans="1:6" ht="27.6" x14ac:dyDescent="0.3">
      <c r="A8" s="126"/>
      <c r="B8" s="126"/>
      <c r="C8" s="125" t="s">
        <v>175</v>
      </c>
      <c r="D8" s="122" t="s">
        <v>176</v>
      </c>
      <c r="E8" s="122" t="s">
        <v>32</v>
      </c>
      <c r="F8" s="122" t="s">
        <v>177</v>
      </c>
    </row>
    <row r="9" spans="1:6" ht="27.6" x14ac:dyDescent="0.3">
      <c r="A9" s="126"/>
      <c r="B9" s="126"/>
      <c r="C9" s="126"/>
      <c r="D9" s="122" t="s">
        <v>178</v>
      </c>
      <c r="E9" s="122" t="s">
        <v>32</v>
      </c>
      <c r="F9" s="122" t="s">
        <v>179</v>
      </c>
    </row>
    <row r="10" spans="1:6" ht="27.6" x14ac:dyDescent="0.3">
      <c r="A10" s="126"/>
      <c r="B10" s="126"/>
      <c r="C10" s="126"/>
      <c r="D10" s="122" t="s">
        <v>180</v>
      </c>
      <c r="E10" s="122" t="s">
        <v>32</v>
      </c>
      <c r="F10" s="122" t="s">
        <v>181</v>
      </c>
    </row>
    <row r="11" spans="1:6" ht="14.4" x14ac:dyDescent="0.3">
      <c r="A11" s="126"/>
      <c r="B11" s="125" t="s">
        <v>182</v>
      </c>
      <c r="C11" s="125" t="s">
        <v>183</v>
      </c>
      <c r="D11" s="122" t="s">
        <v>184</v>
      </c>
      <c r="E11" s="122" t="s">
        <v>32</v>
      </c>
      <c r="F11" s="122" t="s">
        <v>185</v>
      </c>
    </row>
    <row r="12" spans="1:6" ht="14.4" x14ac:dyDescent="0.3">
      <c r="A12" s="126"/>
      <c r="B12" s="126"/>
      <c r="C12" s="126"/>
      <c r="D12" s="122" t="s">
        <v>186</v>
      </c>
      <c r="E12" s="122" t="s">
        <v>32</v>
      </c>
      <c r="F12" s="122" t="s">
        <v>187</v>
      </c>
    </row>
    <row r="13" spans="1:6" ht="27.6" x14ac:dyDescent="0.3">
      <c r="A13" s="126"/>
      <c r="B13" s="126"/>
      <c r="C13" s="125" t="s">
        <v>188</v>
      </c>
      <c r="D13" s="122" t="s">
        <v>189</v>
      </c>
      <c r="E13" s="122" t="s">
        <v>32</v>
      </c>
      <c r="F13" s="122" t="s">
        <v>190</v>
      </c>
    </row>
    <row r="14" spans="1:6" ht="19.8" customHeight="1" x14ac:dyDescent="0.3">
      <c r="A14" s="126"/>
      <c r="B14" s="126"/>
      <c r="C14" s="126"/>
      <c r="D14" s="122" t="s">
        <v>191</v>
      </c>
      <c r="E14" s="122" t="s">
        <v>32</v>
      </c>
      <c r="F14" s="122" t="s">
        <v>192</v>
      </c>
    </row>
    <row r="15" spans="1:6" ht="22.8" customHeight="1" x14ac:dyDescent="0.3">
      <c r="A15" s="126"/>
      <c r="B15" s="126"/>
      <c r="C15" s="126"/>
      <c r="D15" s="122" t="s">
        <v>193</v>
      </c>
      <c r="E15" s="122" t="s">
        <v>32</v>
      </c>
      <c r="F15" s="122" t="s">
        <v>194</v>
      </c>
    </row>
    <row r="16" spans="1:6" ht="21" customHeight="1" x14ac:dyDescent="0.3">
      <c r="A16" s="126"/>
      <c r="B16" s="126"/>
      <c r="C16" s="126"/>
      <c r="D16" s="122" t="s">
        <v>195</v>
      </c>
      <c r="E16" s="122" t="s">
        <v>32</v>
      </c>
      <c r="F16" s="122" t="s">
        <v>196</v>
      </c>
    </row>
    <row r="17" spans="1:6" ht="14.4" x14ac:dyDescent="0.3">
      <c r="A17" s="126"/>
      <c r="B17" s="126"/>
      <c r="C17" s="126"/>
      <c r="D17" s="122" t="s">
        <v>197</v>
      </c>
      <c r="E17" s="122" t="s">
        <v>32</v>
      </c>
      <c r="F17" s="122" t="s">
        <v>198</v>
      </c>
    </row>
    <row r="18" spans="1:6" ht="14.4" x14ac:dyDescent="0.3">
      <c r="A18" s="126"/>
      <c r="B18" s="126"/>
      <c r="C18" s="125" t="s">
        <v>199</v>
      </c>
      <c r="D18" s="122" t="s">
        <v>219</v>
      </c>
      <c r="E18" s="122" t="s">
        <v>32</v>
      </c>
      <c r="F18" s="122" t="s">
        <v>200</v>
      </c>
    </row>
    <row r="19" spans="1:6" ht="14.4" x14ac:dyDescent="0.3">
      <c r="A19" s="126"/>
      <c r="B19" s="126"/>
      <c r="C19" s="126"/>
      <c r="D19" s="122" t="s">
        <v>220</v>
      </c>
      <c r="E19" s="122" t="s">
        <v>32</v>
      </c>
      <c r="F19" s="122" t="s">
        <v>201</v>
      </c>
    </row>
    <row r="20" spans="1:6" ht="14.4" x14ac:dyDescent="0.3">
      <c r="A20" s="126"/>
      <c r="B20" s="126"/>
      <c r="C20" s="126"/>
      <c r="D20" s="122" t="s">
        <v>221</v>
      </c>
      <c r="E20" s="122" t="s">
        <v>32</v>
      </c>
      <c r="F20" s="122" t="s">
        <v>202</v>
      </c>
    </row>
    <row r="21" spans="1:6" ht="27" customHeight="1" x14ac:dyDescent="0.3">
      <c r="A21" s="126"/>
      <c r="B21" s="126"/>
      <c r="C21" s="126"/>
      <c r="D21" s="122" t="s">
        <v>203</v>
      </c>
      <c r="E21" s="122" t="s">
        <v>32</v>
      </c>
      <c r="F21" s="122" t="s">
        <v>204</v>
      </c>
    </row>
    <row r="22" spans="1:6" ht="27.6" x14ac:dyDescent="0.3">
      <c r="A22" s="126"/>
      <c r="B22" s="125" t="s">
        <v>205</v>
      </c>
      <c r="C22" s="125" t="s">
        <v>206</v>
      </c>
      <c r="D22" s="122" t="s">
        <v>207</v>
      </c>
      <c r="E22" s="122" t="s">
        <v>32</v>
      </c>
      <c r="F22" s="122" t="s">
        <v>208</v>
      </c>
    </row>
    <row r="23" spans="1:6" ht="27.6" x14ac:dyDescent="0.3">
      <c r="A23" s="126"/>
      <c r="B23" s="126"/>
      <c r="C23" s="126"/>
      <c r="D23" s="122" t="s">
        <v>209</v>
      </c>
      <c r="E23" s="122" t="s">
        <v>32</v>
      </c>
      <c r="F23" s="122" t="s">
        <v>210</v>
      </c>
    </row>
    <row r="24" spans="1:6" ht="14.4" x14ac:dyDescent="0.3">
      <c r="A24" s="126"/>
      <c r="B24" s="125" t="s">
        <v>211</v>
      </c>
      <c r="C24" s="125" t="s">
        <v>212</v>
      </c>
      <c r="D24" s="122" t="s">
        <v>213</v>
      </c>
      <c r="E24" s="122" t="s">
        <v>32</v>
      </c>
      <c r="F24" s="122" t="s">
        <v>214</v>
      </c>
    </row>
    <row r="25" spans="1:6" ht="14.4" x14ac:dyDescent="0.3">
      <c r="A25" s="126"/>
      <c r="B25" s="126"/>
      <c r="C25" s="126"/>
      <c r="D25" s="122" t="s">
        <v>215</v>
      </c>
      <c r="E25" s="122" t="s">
        <v>32</v>
      </c>
      <c r="F25" s="122" t="s">
        <v>216</v>
      </c>
    </row>
    <row r="26" spans="1:6" ht="14.4" x14ac:dyDescent="0.3">
      <c r="A26" s="126"/>
      <c r="B26" s="126"/>
      <c r="C26" s="126"/>
      <c r="D26" s="122" t="s">
        <v>217</v>
      </c>
      <c r="E26" s="122" t="s">
        <v>32</v>
      </c>
      <c r="F26" s="122" t="s">
        <v>218</v>
      </c>
    </row>
    <row r="27" spans="1:6" ht="15" customHeight="1" x14ac:dyDescent="0.3">
      <c r="A27" s="127"/>
      <c r="B27" s="127"/>
      <c r="C27" s="127"/>
      <c r="D27" s="121"/>
      <c r="E27" s="121"/>
      <c r="F27" s="121"/>
    </row>
    <row r="28" spans="1:6" ht="15" customHeight="1" x14ac:dyDescent="0.3">
      <c r="A28" s="127"/>
      <c r="B28" s="127"/>
      <c r="C28" s="127"/>
      <c r="D28" s="121"/>
      <c r="E28" s="121"/>
      <c r="F28" s="121"/>
    </row>
    <row r="29" spans="1:6" ht="15" customHeight="1" x14ac:dyDescent="0.3">
      <c r="A29" s="127"/>
      <c r="B29" s="127"/>
      <c r="C29" s="127"/>
      <c r="D29" s="121"/>
      <c r="E29" s="121"/>
      <c r="F29" s="121"/>
    </row>
    <row r="30" spans="1:6" ht="15" customHeight="1" x14ac:dyDescent="0.3">
      <c r="A30" s="127"/>
      <c r="B30" s="127"/>
      <c r="C30" s="127"/>
      <c r="D30" s="121"/>
      <c r="E30" s="121"/>
      <c r="F30" s="121"/>
    </row>
    <row r="31" spans="1:6" ht="15" customHeight="1" x14ac:dyDescent="0.3">
      <c r="A31" s="127"/>
      <c r="B31" s="127"/>
      <c r="C31" s="127"/>
      <c r="D31" s="121"/>
      <c r="E31" s="121"/>
      <c r="F31" s="121"/>
    </row>
    <row r="32" spans="1:6" ht="15" customHeight="1" x14ac:dyDescent="0.3">
      <c r="A32" s="127"/>
      <c r="B32" s="127"/>
      <c r="C32" s="127"/>
      <c r="D32" s="121"/>
      <c r="E32" s="121"/>
      <c r="F32" s="121"/>
    </row>
    <row r="33" spans="1:6" ht="15" customHeight="1" x14ac:dyDescent="0.3">
      <c r="A33" s="127"/>
      <c r="B33" s="127"/>
      <c r="C33" s="127"/>
      <c r="D33" s="121"/>
      <c r="E33" s="121"/>
      <c r="F33" s="121"/>
    </row>
    <row r="34" spans="1:6" ht="15" customHeight="1" x14ac:dyDescent="0.3">
      <c r="A34" s="127"/>
      <c r="B34" s="127"/>
      <c r="C34" s="127"/>
      <c r="D34" s="121"/>
      <c r="E34" s="121"/>
      <c r="F34" s="121"/>
    </row>
    <row r="35" spans="1:6" ht="15" customHeight="1" x14ac:dyDescent="0.3">
      <c r="A35" s="127"/>
      <c r="B35" s="127"/>
      <c r="C35" s="127"/>
      <c r="D35" s="121"/>
      <c r="E35" s="121"/>
      <c r="F35" s="121"/>
    </row>
    <row r="36" spans="1:6" ht="15" customHeight="1" x14ac:dyDescent="0.3">
      <c r="A36" s="127"/>
      <c r="B36" s="127"/>
      <c r="C36" s="127"/>
      <c r="D36" s="121"/>
      <c r="E36" s="121"/>
      <c r="F36" s="121"/>
    </row>
    <row r="37" spans="1:6" ht="15" customHeight="1" x14ac:dyDescent="0.3">
      <c r="A37" s="127"/>
      <c r="B37" s="127"/>
      <c r="C37" s="127"/>
      <c r="D37" s="121"/>
      <c r="E37" s="121"/>
      <c r="F37" s="121"/>
    </row>
    <row r="38" spans="1:6" ht="15" customHeight="1" x14ac:dyDescent="0.3">
      <c r="A38" s="127"/>
      <c r="B38" s="127"/>
      <c r="C38" s="127"/>
      <c r="D38" s="121"/>
      <c r="E38" s="121"/>
      <c r="F38" s="121"/>
    </row>
    <row r="39" spans="1:6" ht="15" customHeight="1" x14ac:dyDescent="0.3">
      <c r="A39" s="127"/>
      <c r="B39" s="127"/>
      <c r="C39" s="127"/>
      <c r="D39" s="121"/>
      <c r="E39" s="121"/>
      <c r="F39" s="121"/>
    </row>
    <row r="40" spans="1:6" ht="15" customHeight="1" x14ac:dyDescent="0.3">
      <c r="A40" s="127"/>
      <c r="B40" s="127"/>
      <c r="C40" s="127"/>
      <c r="D40" s="121"/>
      <c r="E40" s="121"/>
      <c r="F40" s="121"/>
    </row>
    <row r="41" spans="1:6" ht="15" customHeight="1" x14ac:dyDescent="0.3">
      <c r="A41" s="127"/>
      <c r="B41" s="127"/>
      <c r="C41" s="127"/>
      <c r="D41" s="121"/>
      <c r="E41" s="121"/>
      <c r="F41" s="121"/>
    </row>
    <row r="42" spans="1:6" ht="15" customHeight="1" x14ac:dyDescent="0.3">
      <c r="A42" s="127"/>
      <c r="B42" s="127"/>
      <c r="C42" s="127"/>
      <c r="D42" s="121"/>
      <c r="E42" s="121"/>
      <c r="F42" s="121"/>
    </row>
    <row r="43" spans="1:6" ht="15" customHeight="1" x14ac:dyDescent="0.3">
      <c r="A43" s="127"/>
      <c r="B43" s="127"/>
      <c r="C43" s="127"/>
      <c r="D43" s="121"/>
      <c r="E43" s="121"/>
      <c r="F43" s="121"/>
    </row>
    <row r="44" spans="1:6" ht="15" customHeight="1" x14ac:dyDescent="0.3">
      <c r="A44" s="127"/>
      <c r="B44" s="127"/>
      <c r="C44" s="127"/>
      <c r="D44" s="121"/>
      <c r="E44" s="121"/>
      <c r="F44" s="121"/>
    </row>
    <row r="45" spans="1:6" ht="15" customHeight="1" x14ac:dyDescent="0.3">
      <c r="A45" s="127"/>
      <c r="B45" s="127"/>
      <c r="C45" s="127"/>
      <c r="D45" s="121"/>
      <c r="E45" s="121"/>
      <c r="F45" s="121"/>
    </row>
    <row r="46" spans="1:6" ht="15" customHeight="1" x14ac:dyDescent="0.3">
      <c r="A46" s="127"/>
      <c r="B46" s="127"/>
      <c r="C46" s="127"/>
      <c r="D46" s="121"/>
      <c r="E46" s="121"/>
      <c r="F46" s="121"/>
    </row>
    <row r="47" spans="1:6" ht="15" customHeight="1" x14ac:dyDescent="0.3">
      <c r="A47" s="127"/>
      <c r="B47" s="127"/>
      <c r="C47" s="127"/>
      <c r="D47" s="121"/>
      <c r="E47" s="121"/>
      <c r="F47" s="121"/>
    </row>
    <row r="48" spans="1:6" ht="15" customHeight="1" x14ac:dyDescent="0.3">
      <c r="A48" s="127"/>
      <c r="B48" s="127"/>
      <c r="C48" s="127"/>
      <c r="D48" s="121"/>
      <c r="E48" s="121"/>
      <c r="F48" s="121"/>
    </row>
    <row r="49" spans="1:6" ht="15" customHeight="1" x14ac:dyDescent="0.3">
      <c r="A49" s="127"/>
      <c r="B49" s="127"/>
      <c r="C49" s="127"/>
      <c r="D49" s="121"/>
      <c r="E49" s="121"/>
      <c r="F49" s="121"/>
    </row>
    <row r="50" spans="1:6" ht="15" customHeight="1" x14ac:dyDescent="0.3">
      <c r="A50" s="127"/>
      <c r="B50" s="127"/>
      <c r="C50" s="127"/>
      <c r="D50" s="121"/>
      <c r="E50" s="121"/>
      <c r="F50" s="121"/>
    </row>
    <row r="51" spans="1:6" ht="15" customHeight="1" x14ac:dyDescent="0.3">
      <c r="A51" s="127"/>
      <c r="B51" s="127"/>
      <c r="C51" s="127"/>
      <c r="D51" s="121"/>
      <c r="E51" s="121"/>
      <c r="F51" s="121"/>
    </row>
    <row r="52" spans="1:6" ht="15" customHeight="1" x14ac:dyDescent="0.3">
      <c r="A52" s="127"/>
      <c r="B52" s="127"/>
      <c r="C52" s="127"/>
      <c r="D52" s="121"/>
      <c r="E52" s="121"/>
      <c r="F52" s="121"/>
    </row>
  </sheetData>
  <autoFilter ref="A1:F1" xr:uid="{00000000-0009-0000-0000-000002000000}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2BA18-8D04-4CDF-8806-192A492A18EF}">
  <dimension ref="A2:J38"/>
  <sheetViews>
    <sheetView workbookViewId="0">
      <selection activeCell="C9" sqref="C9"/>
    </sheetView>
  </sheetViews>
  <sheetFormatPr defaultColWidth="14.44140625" defaultRowHeight="15" customHeight="1" x14ac:dyDescent="0.3"/>
  <cols>
    <col min="1" max="1" width="19.5546875" customWidth="1"/>
    <col min="2" max="2" width="25.6640625" customWidth="1"/>
    <col min="3" max="3" width="29.33203125" customWidth="1"/>
    <col min="4" max="4" width="32.5546875" customWidth="1"/>
    <col min="5" max="5" width="29.44140625" customWidth="1"/>
    <col min="6" max="6" width="10.88671875" customWidth="1"/>
    <col min="7" max="7" width="12" customWidth="1"/>
    <col min="8" max="8" width="20.109375" customWidth="1"/>
    <col min="9" max="9" width="9.44140625" customWidth="1"/>
    <col min="10" max="10" width="8.109375" hidden="1" customWidth="1"/>
    <col min="11" max="26" width="9.109375" customWidth="1"/>
  </cols>
  <sheetData>
    <row r="2" spans="1:10" ht="15" customHeight="1" x14ac:dyDescent="0.3">
      <c r="A2" s="30" t="s">
        <v>33</v>
      </c>
      <c r="B2" s="112" t="s">
        <v>156</v>
      </c>
      <c r="C2" s="96"/>
      <c r="D2" s="96"/>
      <c r="E2" s="96"/>
      <c r="F2" s="96"/>
      <c r="G2" s="96"/>
      <c r="H2" s="97"/>
      <c r="I2" s="28"/>
      <c r="J2" s="29" t="s">
        <v>34</v>
      </c>
    </row>
    <row r="3" spans="1:10" ht="25.5" customHeight="1" x14ac:dyDescent="0.3">
      <c r="A3" s="31" t="s">
        <v>35</v>
      </c>
      <c r="B3" s="113" t="s">
        <v>64</v>
      </c>
      <c r="C3" s="96"/>
      <c r="D3" s="96"/>
      <c r="E3" s="96"/>
      <c r="F3" s="96"/>
      <c r="G3" s="96"/>
      <c r="H3" s="97"/>
      <c r="I3" s="28"/>
      <c r="J3" s="29" t="s">
        <v>36</v>
      </c>
    </row>
    <row r="4" spans="1:10" ht="18" customHeight="1" x14ac:dyDescent="0.3">
      <c r="A4" s="30" t="s">
        <v>37</v>
      </c>
      <c r="B4" s="113" t="s">
        <v>63</v>
      </c>
      <c r="C4" s="96"/>
      <c r="D4" s="96"/>
      <c r="E4" s="96"/>
      <c r="F4" s="96"/>
      <c r="G4" s="96"/>
      <c r="H4" s="97"/>
      <c r="I4" s="28"/>
      <c r="J4" s="29" t="s">
        <v>38</v>
      </c>
    </row>
    <row r="5" spans="1:10" ht="19.5" customHeight="1" x14ac:dyDescent="0.3">
      <c r="A5" s="32" t="s">
        <v>34</v>
      </c>
      <c r="B5" s="33" t="s">
        <v>36</v>
      </c>
      <c r="C5" s="33" t="s">
        <v>39</v>
      </c>
      <c r="D5" s="33" t="s">
        <v>38</v>
      </c>
      <c r="E5" s="34" t="s">
        <v>40</v>
      </c>
      <c r="F5" s="114" t="s">
        <v>41</v>
      </c>
      <c r="G5" s="96"/>
      <c r="H5" s="97"/>
      <c r="I5" s="35"/>
      <c r="J5" s="29" t="s">
        <v>39</v>
      </c>
    </row>
    <row r="6" spans="1:10" ht="15" customHeight="1" thickBot="1" x14ac:dyDescent="0.35">
      <c r="A6" s="36">
        <f>COUNTIF(F9:F1017,"Passed")</f>
        <v>0</v>
      </c>
      <c r="B6" s="37">
        <f>COUNTIF(F9:F1017,"Failed")</f>
        <v>0</v>
      </c>
      <c r="C6" s="37">
        <f>F6-E6-D6-B6-A6</f>
        <v>30</v>
      </c>
      <c r="D6" s="37">
        <f>COUNTIF(F$9:F$1017,"Blocked")</f>
        <v>0</v>
      </c>
      <c r="E6" s="38">
        <f>COUNTIF(F$9:F$1017,"Skipped")</f>
        <v>0</v>
      </c>
      <c r="F6" s="115">
        <f>COUNTA(A9:A1017)</f>
        <v>30</v>
      </c>
      <c r="G6" s="96"/>
      <c r="H6" s="97"/>
      <c r="I6" s="35"/>
      <c r="J6" s="29" t="s">
        <v>40</v>
      </c>
    </row>
    <row r="7" spans="1:10" ht="15" customHeight="1" x14ac:dyDescent="0.3">
      <c r="A7" s="29"/>
      <c r="B7" s="29"/>
      <c r="C7" s="29"/>
      <c r="D7" s="39"/>
      <c r="E7" s="39"/>
      <c r="F7" s="40"/>
      <c r="G7" s="40"/>
      <c r="H7" s="40"/>
      <c r="I7" s="35"/>
      <c r="J7" s="29"/>
    </row>
    <row r="8" spans="1:10" ht="25.5" customHeight="1" x14ac:dyDescent="0.3">
      <c r="A8" s="72" t="s">
        <v>42</v>
      </c>
      <c r="B8" s="73" t="s">
        <v>43</v>
      </c>
      <c r="C8" s="73" t="s">
        <v>44</v>
      </c>
      <c r="D8" s="73" t="s">
        <v>45</v>
      </c>
      <c r="E8" s="73" t="s">
        <v>46</v>
      </c>
      <c r="F8" s="73" t="s">
        <v>47</v>
      </c>
      <c r="G8" s="73" t="s">
        <v>48</v>
      </c>
      <c r="H8" s="74" t="s">
        <v>31</v>
      </c>
      <c r="I8" s="41"/>
      <c r="J8" s="29"/>
    </row>
    <row r="9" spans="1:10" ht="165.6" x14ac:dyDescent="0.3">
      <c r="A9" s="84" t="str">
        <f t="shared" ref="A9:A17" si="0">IF(OR(B9&lt;&gt;"",D9&lt;&gt;""),"["&amp;TEXT($B$2,"##")&amp;"-"&amp;TEXT(ROW()-8,"##")&amp;"]","")</f>
        <v>[CustRegistration-1]</v>
      </c>
      <c r="B9" s="75" t="s">
        <v>66</v>
      </c>
      <c r="C9" s="75" t="s">
        <v>124</v>
      </c>
      <c r="D9" s="75" t="s">
        <v>123</v>
      </c>
      <c r="E9" s="77" t="s">
        <v>67</v>
      </c>
      <c r="F9" s="77" t="s">
        <v>39</v>
      </c>
      <c r="G9" s="78"/>
      <c r="H9" s="79"/>
      <c r="I9" s="42"/>
      <c r="J9" s="5"/>
    </row>
    <row r="10" spans="1:10" ht="165.6" x14ac:dyDescent="0.3">
      <c r="A10" s="84" t="str">
        <f t="shared" si="0"/>
        <v>[CustRegistration-2]</v>
      </c>
      <c r="B10" s="75" t="s">
        <v>68</v>
      </c>
      <c r="C10" s="75" t="s">
        <v>129</v>
      </c>
      <c r="D10" s="75" t="s">
        <v>125</v>
      </c>
      <c r="E10" s="77" t="s">
        <v>67</v>
      </c>
      <c r="F10" s="77" t="s">
        <v>39</v>
      </c>
      <c r="G10" s="78"/>
      <c r="H10" s="79"/>
      <c r="I10" s="42"/>
      <c r="J10" s="5"/>
    </row>
    <row r="11" spans="1:10" ht="96.6" x14ac:dyDescent="0.3">
      <c r="A11" s="84" t="str">
        <f t="shared" si="0"/>
        <v>[CustRegistration-3]</v>
      </c>
      <c r="B11" s="75" t="s">
        <v>69</v>
      </c>
      <c r="C11" s="75" t="s">
        <v>126</v>
      </c>
      <c r="D11" s="75" t="s">
        <v>70</v>
      </c>
      <c r="E11" s="77" t="s">
        <v>67</v>
      </c>
      <c r="F11" s="77" t="s">
        <v>39</v>
      </c>
      <c r="G11" s="78"/>
      <c r="H11" s="79"/>
      <c r="I11" s="43"/>
      <c r="J11" s="29"/>
    </row>
    <row r="12" spans="1:10" ht="96.6" x14ac:dyDescent="0.3">
      <c r="A12" s="84" t="str">
        <f t="shared" si="0"/>
        <v>[CustRegistration-4]</v>
      </c>
      <c r="B12" s="75" t="s">
        <v>71</v>
      </c>
      <c r="C12" s="75" t="s">
        <v>130</v>
      </c>
      <c r="D12" s="75" t="s">
        <v>72</v>
      </c>
      <c r="E12" s="77" t="s">
        <v>67</v>
      </c>
      <c r="F12" s="77" t="s">
        <v>39</v>
      </c>
      <c r="G12" s="78"/>
      <c r="H12" s="79"/>
      <c r="I12" s="42"/>
      <c r="J12" s="5"/>
    </row>
    <row r="13" spans="1:10" ht="138" x14ac:dyDescent="0.3">
      <c r="A13" s="84" t="str">
        <f t="shared" si="0"/>
        <v>[CustRegistration-5]</v>
      </c>
      <c r="B13" s="75" t="s">
        <v>73</v>
      </c>
      <c r="C13" s="75" t="s">
        <v>127</v>
      </c>
      <c r="D13" s="75" t="s">
        <v>74</v>
      </c>
      <c r="E13" s="77" t="s">
        <v>67</v>
      </c>
      <c r="F13" s="77" t="s">
        <v>39</v>
      </c>
      <c r="G13" s="78"/>
      <c r="H13" s="80"/>
      <c r="I13" s="44"/>
      <c r="J13" s="5"/>
    </row>
    <row r="14" spans="1:10" ht="82.8" x14ac:dyDescent="0.3">
      <c r="A14" s="84" t="str">
        <f t="shared" si="0"/>
        <v>[CustRegistration-6]</v>
      </c>
      <c r="B14" s="75" t="s">
        <v>75</v>
      </c>
      <c r="C14" s="75" t="s">
        <v>131</v>
      </c>
      <c r="D14" s="75" t="s">
        <v>76</v>
      </c>
      <c r="E14" s="77" t="s">
        <v>65</v>
      </c>
      <c r="F14" s="77" t="s">
        <v>39</v>
      </c>
      <c r="G14" s="78"/>
      <c r="H14" s="79"/>
      <c r="I14" s="43"/>
      <c r="J14" s="29"/>
    </row>
    <row r="15" spans="1:10" ht="96.6" x14ac:dyDescent="0.3">
      <c r="A15" s="84" t="str">
        <f t="shared" si="0"/>
        <v>[CustRegistration-7]</v>
      </c>
      <c r="B15" s="75" t="s">
        <v>77</v>
      </c>
      <c r="C15" s="75" t="s">
        <v>128</v>
      </c>
      <c r="D15" s="75" t="s">
        <v>78</v>
      </c>
      <c r="E15" s="77" t="s">
        <v>65</v>
      </c>
      <c r="F15" s="77" t="s">
        <v>39</v>
      </c>
      <c r="G15" s="78"/>
      <c r="H15" s="79"/>
      <c r="I15" s="42"/>
      <c r="J15" s="5"/>
    </row>
    <row r="16" spans="1:10" ht="96.6" x14ac:dyDescent="0.3">
      <c r="A16" s="84" t="str">
        <f t="shared" si="0"/>
        <v>[CustRegistration-8]</v>
      </c>
      <c r="B16" s="75" t="s">
        <v>79</v>
      </c>
      <c r="C16" s="75" t="s">
        <v>132</v>
      </c>
      <c r="D16" s="75" t="s">
        <v>133</v>
      </c>
      <c r="E16" s="77" t="s">
        <v>67</v>
      </c>
      <c r="F16" s="77" t="s">
        <v>39</v>
      </c>
      <c r="G16" s="78"/>
      <c r="H16" s="79" t="s">
        <v>49</v>
      </c>
      <c r="I16" s="44"/>
      <c r="J16" s="5"/>
    </row>
    <row r="17" spans="1:8" ht="114.75" customHeight="1" x14ac:dyDescent="0.3">
      <c r="A17" s="84" t="str">
        <f t="shared" si="0"/>
        <v>[CustRegistration-9]</v>
      </c>
      <c r="B17" s="75" t="s">
        <v>80</v>
      </c>
      <c r="C17" s="75" t="s">
        <v>134</v>
      </c>
      <c r="D17" s="75" t="s">
        <v>81</v>
      </c>
      <c r="E17" s="77" t="s">
        <v>67</v>
      </c>
      <c r="F17" s="77" t="s">
        <v>39</v>
      </c>
      <c r="G17" s="78"/>
      <c r="H17" s="79" t="s">
        <v>50</v>
      </c>
    </row>
    <row r="18" spans="1:8" ht="110.4" x14ac:dyDescent="0.3">
      <c r="A18" s="84" t="str">
        <f t="shared" ref="A18:A38" si="1">IF(OR(B18&lt;&gt;"",D18&lt;&gt;""),"["&amp;TEXT($B$2,"##")&amp;"-"&amp;TEXT(ROW()-8,"##")&amp;"]","")</f>
        <v>[CustRegistration-10]</v>
      </c>
      <c r="B18" s="75" t="s">
        <v>82</v>
      </c>
      <c r="C18" s="75" t="s">
        <v>135</v>
      </c>
      <c r="D18" s="75" t="s">
        <v>83</v>
      </c>
      <c r="E18" s="77" t="s">
        <v>65</v>
      </c>
      <c r="F18" s="77" t="s">
        <v>39</v>
      </c>
      <c r="G18" s="78"/>
      <c r="H18" s="79"/>
    </row>
    <row r="19" spans="1:8" ht="82.8" x14ac:dyDescent="0.3">
      <c r="A19" s="84" t="str">
        <f t="shared" si="1"/>
        <v>[CustRegistration-11]</v>
      </c>
      <c r="B19" s="75" t="s">
        <v>84</v>
      </c>
      <c r="C19" s="75" t="s">
        <v>136</v>
      </c>
      <c r="D19" s="75" t="s">
        <v>85</v>
      </c>
      <c r="E19" s="77" t="s">
        <v>67</v>
      </c>
      <c r="F19" s="77" t="s">
        <v>39</v>
      </c>
      <c r="G19" s="78"/>
      <c r="H19" s="79"/>
    </row>
    <row r="20" spans="1:8" ht="82.8" x14ac:dyDescent="0.3">
      <c r="A20" s="84" t="str">
        <f t="shared" si="1"/>
        <v>[CustRegistration-12]</v>
      </c>
      <c r="B20" s="75" t="s">
        <v>86</v>
      </c>
      <c r="C20" s="75" t="s">
        <v>137</v>
      </c>
      <c r="D20" s="75" t="s">
        <v>87</v>
      </c>
      <c r="E20" s="77" t="s">
        <v>67</v>
      </c>
      <c r="F20" s="77" t="s">
        <v>39</v>
      </c>
      <c r="G20" s="78"/>
      <c r="H20" s="79"/>
    </row>
    <row r="21" spans="1:8" ht="96.6" x14ac:dyDescent="0.3">
      <c r="A21" s="84" t="str">
        <f t="shared" si="1"/>
        <v>[CustRegistration-13]</v>
      </c>
      <c r="B21" s="75" t="s">
        <v>88</v>
      </c>
      <c r="C21" s="75" t="s">
        <v>138</v>
      </c>
      <c r="D21" s="75" t="s">
        <v>89</v>
      </c>
      <c r="E21" s="77" t="s">
        <v>67</v>
      </c>
      <c r="F21" s="77" t="s">
        <v>39</v>
      </c>
      <c r="G21" s="78"/>
      <c r="H21" s="79"/>
    </row>
    <row r="22" spans="1:8" ht="69" x14ac:dyDescent="0.3">
      <c r="A22" s="84" t="str">
        <f t="shared" si="1"/>
        <v>[CustRegistration-14]</v>
      </c>
      <c r="B22" s="75" t="s">
        <v>90</v>
      </c>
      <c r="C22" s="75" t="s">
        <v>139</v>
      </c>
      <c r="D22" s="75" t="s">
        <v>89</v>
      </c>
      <c r="E22" s="77" t="s">
        <v>67</v>
      </c>
      <c r="F22" s="77" t="s">
        <v>39</v>
      </c>
      <c r="G22" s="78"/>
      <c r="H22" s="79"/>
    </row>
    <row r="23" spans="1:8" ht="138" x14ac:dyDescent="0.3">
      <c r="A23" s="84" t="str">
        <f t="shared" si="1"/>
        <v>[CustRegistration-15]</v>
      </c>
      <c r="B23" s="75" t="s">
        <v>91</v>
      </c>
      <c r="C23" s="75" t="s">
        <v>140</v>
      </c>
      <c r="D23" s="75" t="s">
        <v>92</v>
      </c>
      <c r="E23" s="77" t="s">
        <v>67</v>
      </c>
      <c r="F23" s="77" t="s">
        <v>39</v>
      </c>
      <c r="G23" s="78"/>
      <c r="H23" s="79"/>
    </row>
    <row r="24" spans="1:8" ht="82.8" x14ac:dyDescent="0.3">
      <c r="A24" s="84" t="str">
        <f t="shared" si="1"/>
        <v>[CustRegistration-16]</v>
      </c>
      <c r="B24" s="75" t="s">
        <v>93</v>
      </c>
      <c r="C24" s="75" t="s">
        <v>141</v>
      </c>
      <c r="D24" s="75" t="s">
        <v>94</v>
      </c>
      <c r="E24" s="77" t="s">
        <v>67</v>
      </c>
      <c r="F24" s="77" t="s">
        <v>39</v>
      </c>
      <c r="G24" s="78"/>
      <c r="H24" s="79"/>
    </row>
    <row r="25" spans="1:8" ht="110.4" x14ac:dyDescent="0.3">
      <c r="A25" s="84" t="str">
        <f t="shared" si="1"/>
        <v>[CustRegistration-17]</v>
      </c>
      <c r="B25" s="75" t="s">
        <v>95</v>
      </c>
      <c r="C25" s="75" t="s">
        <v>142</v>
      </c>
      <c r="D25" s="75" t="s">
        <v>96</v>
      </c>
      <c r="E25" s="77" t="s">
        <v>67</v>
      </c>
      <c r="F25" s="77" t="s">
        <v>39</v>
      </c>
      <c r="G25" s="78"/>
      <c r="H25" s="79"/>
    </row>
    <row r="26" spans="1:8" ht="124.2" x14ac:dyDescent="0.3">
      <c r="A26" s="84" t="str">
        <f t="shared" si="1"/>
        <v>[CustRegistration-18]</v>
      </c>
      <c r="B26" s="75" t="s">
        <v>97</v>
      </c>
      <c r="C26" s="75" t="s">
        <v>143</v>
      </c>
      <c r="D26" s="75" t="s">
        <v>98</v>
      </c>
      <c r="E26" s="77" t="s">
        <v>67</v>
      </c>
      <c r="F26" s="77" t="s">
        <v>39</v>
      </c>
      <c r="G26" s="78"/>
      <c r="H26" s="79"/>
    </row>
    <row r="27" spans="1:8" ht="124.2" x14ac:dyDescent="0.3">
      <c r="A27" s="84" t="str">
        <f t="shared" si="1"/>
        <v>[CustRegistration-19]</v>
      </c>
      <c r="B27" s="75" t="s">
        <v>99</v>
      </c>
      <c r="C27" s="75" t="s">
        <v>144</v>
      </c>
      <c r="D27" s="75" t="s">
        <v>100</v>
      </c>
      <c r="E27" s="77" t="s">
        <v>67</v>
      </c>
      <c r="F27" s="77" t="s">
        <v>39</v>
      </c>
      <c r="G27" s="78"/>
      <c r="H27" s="79"/>
    </row>
    <row r="28" spans="1:8" ht="96.6" x14ac:dyDescent="0.3">
      <c r="A28" s="84" t="str">
        <f t="shared" si="1"/>
        <v>[CustRegistration-20]</v>
      </c>
      <c r="B28" s="75" t="s">
        <v>101</v>
      </c>
      <c r="C28" s="75" t="s">
        <v>145</v>
      </c>
      <c r="D28" s="75" t="s">
        <v>102</v>
      </c>
      <c r="E28" s="77" t="s">
        <v>67</v>
      </c>
      <c r="F28" s="77" t="s">
        <v>39</v>
      </c>
      <c r="G28" s="78"/>
      <c r="H28" s="79"/>
    </row>
    <row r="29" spans="1:8" ht="110.4" x14ac:dyDescent="0.3">
      <c r="A29" s="84" t="str">
        <f t="shared" si="1"/>
        <v>[CustRegistration-21]</v>
      </c>
      <c r="B29" s="75" t="s">
        <v>103</v>
      </c>
      <c r="C29" s="75" t="s">
        <v>146</v>
      </c>
      <c r="D29" s="75" t="s">
        <v>104</v>
      </c>
      <c r="E29" s="77" t="s">
        <v>67</v>
      </c>
      <c r="F29" s="77" t="s">
        <v>39</v>
      </c>
      <c r="G29" s="78"/>
      <c r="H29" s="79"/>
    </row>
    <row r="30" spans="1:8" ht="96.6" x14ac:dyDescent="0.3">
      <c r="A30" s="84" t="str">
        <f t="shared" si="1"/>
        <v>[CustRegistration-22]</v>
      </c>
      <c r="B30" s="75" t="s">
        <v>105</v>
      </c>
      <c r="C30" s="75" t="s">
        <v>147</v>
      </c>
      <c r="D30" s="75" t="s">
        <v>106</v>
      </c>
      <c r="E30" s="77" t="s">
        <v>67</v>
      </c>
      <c r="F30" s="77" t="s">
        <v>39</v>
      </c>
      <c r="G30" s="78"/>
      <c r="H30" s="79"/>
    </row>
    <row r="31" spans="1:8" ht="110.4" x14ac:dyDescent="0.3">
      <c r="A31" s="84" t="str">
        <f t="shared" si="1"/>
        <v>[CustRegistration-23]</v>
      </c>
      <c r="B31" s="75" t="s">
        <v>107</v>
      </c>
      <c r="C31" s="75" t="s">
        <v>148</v>
      </c>
      <c r="D31" s="75" t="s">
        <v>108</v>
      </c>
      <c r="E31" s="77" t="s">
        <v>67</v>
      </c>
      <c r="F31" s="77" t="s">
        <v>39</v>
      </c>
      <c r="G31" s="78"/>
      <c r="H31" s="79"/>
    </row>
    <row r="32" spans="1:8" ht="82.8" x14ac:dyDescent="0.3">
      <c r="A32" s="84" t="str">
        <f t="shared" si="1"/>
        <v>[CustRegistration-24]</v>
      </c>
      <c r="B32" s="75" t="s">
        <v>109</v>
      </c>
      <c r="C32" s="75" t="s">
        <v>149</v>
      </c>
      <c r="D32" s="75" t="s">
        <v>110</v>
      </c>
      <c r="E32" s="77" t="s">
        <v>67</v>
      </c>
      <c r="F32" s="77" t="s">
        <v>39</v>
      </c>
      <c r="G32" s="78"/>
      <c r="H32" s="79"/>
    </row>
    <row r="33" spans="1:8" ht="82.8" x14ac:dyDescent="0.3">
      <c r="A33" s="84" t="str">
        <f t="shared" si="1"/>
        <v>[CustRegistration-25]</v>
      </c>
      <c r="B33" s="75" t="s">
        <v>111</v>
      </c>
      <c r="C33" s="75" t="s">
        <v>150</v>
      </c>
      <c r="D33" s="75" t="s">
        <v>112</v>
      </c>
      <c r="E33" s="77" t="s">
        <v>67</v>
      </c>
      <c r="F33" s="77" t="s">
        <v>39</v>
      </c>
      <c r="G33" s="78"/>
      <c r="H33" s="79"/>
    </row>
    <row r="34" spans="1:8" ht="96.6" x14ac:dyDescent="0.3">
      <c r="A34" s="84" t="str">
        <f t="shared" si="1"/>
        <v>[CustRegistration-26]</v>
      </c>
      <c r="B34" s="75" t="s">
        <v>113</v>
      </c>
      <c r="C34" s="75" t="s">
        <v>151</v>
      </c>
      <c r="D34" s="75" t="s">
        <v>114</v>
      </c>
      <c r="E34" s="77" t="s">
        <v>67</v>
      </c>
      <c r="F34" s="77" t="s">
        <v>39</v>
      </c>
      <c r="G34" s="78"/>
      <c r="H34" s="79"/>
    </row>
    <row r="35" spans="1:8" ht="96.6" x14ac:dyDescent="0.3">
      <c r="A35" s="84" t="str">
        <f t="shared" si="1"/>
        <v>[CustRegistration-27]</v>
      </c>
      <c r="B35" s="75" t="s">
        <v>115</v>
      </c>
      <c r="C35" s="75" t="s">
        <v>152</v>
      </c>
      <c r="D35" s="75" t="s">
        <v>116</v>
      </c>
      <c r="E35" s="77" t="s">
        <v>67</v>
      </c>
      <c r="F35" s="77" t="s">
        <v>39</v>
      </c>
      <c r="G35" s="78"/>
      <c r="H35" s="79"/>
    </row>
    <row r="36" spans="1:8" ht="96.6" x14ac:dyDescent="0.3">
      <c r="A36" s="84" t="str">
        <f t="shared" si="1"/>
        <v>[CustRegistration-28]</v>
      </c>
      <c r="B36" s="75" t="s">
        <v>117</v>
      </c>
      <c r="C36" s="75" t="s">
        <v>153</v>
      </c>
      <c r="D36" s="75" t="s">
        <v>118</v>
      </c>
      <c r="E36" s="77" t="s">
        <v>67</v>
      </c>
      <c r="F36" s="77" t="s">
        <v>39</v>
      </c>
      <c r="G36" s="78"/>
      <c r="H36" s="79"/>
    </row>
    <row r="37" spans="1:8" ht="110.4" x14ac:dyDescent="0.3">
      <c r="A37" s="84" t="str">
        <f t="shared" si="1"/>
        <v>[CustRegistration-29]</v>
      </c>
      <c r="B37" s="75" t="s">
        <v>119</v>
      </c>
      <c r="C37" s="75" t="s">
        <v>154</v>
      </c>
      <c r="D37" s="75" t="s">
        <v>120</v>
      </c>
      <c r="E37" s="77" t="s">
        <v>67</v>
      </c>
      <c r="F37" s="77" t="s">
        <v>39</v>
      </c>
      <c r="G37" s="78"/>
      <c r="H37" s="79"/>
    </row>
    <row r="38" spans="1:8" ht="82.8" x14ac:dyDescent="0.3">
      <c r="A38" s="85" t="str">
        <f t="shared" si="1"/>
        <v>[CustRegistration-30]</v>
      </c>
      <c r="B38" s="76" t="s">
        <v>121</v>
      </c>
      <c r="C38" s="76" t="s">
        <v>155</v>
      </c>
      <c r="D38" s="76" t="s">
        <v>122</v>
      </c>
      <c r="E38" s="81" t="s">
        <v>65</v>
      </c>
      <c r="F38" s="81" t="s">
        <v>39</v>
      </c>
      <c r="G38" s="82"/>
      <c r="H38" s="83"/>
    </row>
  </sheetData>
  <mergeCells count="5">
    <mergeCell ref="B2:H2"/>
    <mergeCell ref="B3:H3"/>
    <mergeCell ref="B4:H4"/>
    <mergeCell ref="F5:H5"/>
    <mergeCell ref="F6:H6"/>
  </mergeCells>
  <dataValidations count="1">
    <dataValidation type="list" allowBlank="1" showInputMessage="1" showErrorMessage="1" prompt=" - " sqref="F1 F7:F8 F39:F164" xr:uid="{CFDD683C-3A3C-4A6D-A9C3-9389FC9965A2}">
      <formula1>$J$2:$J$6</formula1>
    </dataValidation>
  </dataValidations>
  <pageMargins left="0.7" right="0.7" top="0.75" bottom="0.75" header="0" footer="0"/>
  <pageSetup orientation="landscape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81F7E-5E5F-48B6-9772-2AB8868CA8CA}">
  <dimension ref="A2:J37"/>
  <sheetViews>
    <sheetView topLeftCell="A17" workbookViewId="0">
      <selection activeCell="A27" sqref="A27:H27"/>
    </sheetView>
  </sheetViews>
  <sheetFormatPr defaultColWidth="14.44140625" defaultRowHeight="15" customHeight="1" x14ac:dyDescent="0.3"/>
  <cols>
    <col min="1" max="1" width="19.5546875" customWidth="1"/>
    <col min="2" max="2" width="25.6640625" customWidth="1"/>
    <col min="3" max="3" width="29.33203125" customWidth="1"/>
    <col min="4" max="4" width="32.5546875" customWidth="1"/>
    <col min="5" max="5" width="29.44140625" customWidth="1"/>
    <col min="6" max="6" width="10.88671875" customWidth="1"/>
    <col min="7" max="7" width="12" customWidth="1"/>
    <col min="8" max="8" width="20.109375" customWidth="1"/>
    <col min="9" max="9" width="9.44140625" customWidth="1"/>
    <col min="10" max="10" width="8.109375" hidden="1" customWidth="1"/>
    <col min="11" max="26" width="9.109375" customWidth="1"/>
  </cols>
  <sheetData>
    <row r="2" spans="1:10" ht="15" customHeight="1" x14ac:dyDescent="0.3">
      <c r="A2" s="30" t="s">
        <v>33</v>
      </c>
      <c r="B2" s="112" t="s">
        <v>156</v>
      </c>
      <c r="C2" s="96"/>
      <c r="D2" s="96"/>
      <c r="E2" s="96"/>
      <c r="F2" s="96"/>
      <c r="G2" s="96"/>
      <c r="H2" s="97"/>
      <c r="I2" s="28"/>
      <c r="J2" s="29" t="s">
        <v>34</v>
      </c>
    </row>
    <row r="3" spans="1:10" ht="25.5" customHeight="1" x14ac:dyDescent="0.3">
      <c r="A3" s="31" t="s">
        <v>35</v>
      </c>
      <c r="B3" s="113" t="s">
        <v>64</v>
      </c>
      <c r="C3" s="96"/>
      <c r="D3" s="96"/>
      <c r="E3" s="96"/>
      <c r="F3" s="96"/>
      <c r="G3" s="96"/>
      <c r="H3" s="97"/>
      <c r="I3" s="28"/>
      <c r="J3" s="29" t="s">
        <v>36</v>
      </c>
    </row>
    <row r="4" spans="1:10" ht="18" customHeight="1" x14ac:dyDescent="0.3">
      <c r="A4" s="30" t="s">
        <v>37</v>
      </c>
      <c r="B4" s="113" t="s">
        <v>63</v>
      </c>
      <c r="C4" s="96"/>
      <c r="D4" s="96"/>
      <c r="E4" s="96"/>
      <c r="F4" s="96"/>
      <c r="G4" s="96"/>
      <c r="H4" s="97"/>
      <c r="I4" s="28"/>
      <c r="J4" s="29" t="s">
        <v>38</v>
      </c>
    </row>
    <row r="5" spans="1:10" ht="19.5" customHeight="1" x14ac:dyDescent="0.3">
      <c r="A5" s="32" t="s">
        <v>34</v>
      </c>
      <c r="B5" s="33" t="s">
        <v>36</v>
      </c>
      <c r="C5" s="33" t="s">
        <v>39</v>
      </c>
      <c r="D5" s="33" t="s">
        <v>38</v>
      </c>
      <c r="E5" s="34" t="s">
        <v>40</v>
      </c>
      <c r="F5" s="114" t="s">
        <v>41</v>
      </c>
      <c r="G5" s="96"/>
      <c r="H5" s="97"/>
      <c r="I5" s="35"/>
      <c r="J5" s="29" t="s">
        <v>39</v>
      </c>
    </row>
    <row r="6" spans="1:10" ht="15" customHeight="1" thickBot="1" x14ac:dyDescent="0.35">
      <c r="A6" s="36">
        <f>COUNTIF(F9:F1012,"Passed")</f>
        <v>25</v>
      </c>
      <c r="B6" s="37">
        <f>COUNTIF(F9:F1012,"Failed")</f>
        <v>0</v>
      </c>
      <c r="C6" s="37">
        <f>F6-E6-D6-B6-A6</f>
        <v>0</v>
      </c>
      <c r="D6" s="37">
        <f>COUNTIF(F$9:F$1012,"Blocked")</f>
        <v>0</v>
      </c>
      <c r="E6" s="38">
        <f>COUNTIF(F$9:F$1012,"Skipped")</f>
        <v>0</v>
      </c>
      <c r="F6" s="115">
        <f>COUNTA(A9:A1012)</f>
        <v>25</v>
      </c>
      <c r="G6" s="96"/>
      <c r="H6" s="97"/>
      <c r="I6" s="35"/>
      <c r="J6" s="29" t="s">
        <v>40</v>
      </c>
    </row>
    <row r="7" spans="1:10" ht="15" customHeight="1" x14ac:dyDescent="0.3">
      <c r="A7" s="29"/>
      <c r="B7" s="29"/>
      <c r="C7" s="29"/>
      <c r="D7" s="39"/>
      <c r="E7" s="39"/>
      <c r="F7" s="40"/>
      <c r="G7" s="40"/>
      <c r="H7" s="40"/>
      <c r="I7" s="35"/>
      <c r="J7" s="29"/>
    </row>
    <row r="8" spans="1:10" ht="25.5" customHeight="1" x14ac:dyDescent="0.3">
      <c r="A8" s="129" t="s">
        <v>42</v>
      </c>
      <c r="B8" s="130" t="s">
        <v>43</v>
      </c>
      <c r="C8" s="130" t="s">
        <v>44</v>
      </c>
      <c r="D8" s="130" t="s">
        <v>45</v>
      </c>
      <c r="E8" s="130" t="s">
        <v>46</v>
      </c>
      <c r="F8" s="130" t="s">
        <v>47</v>
      </c>
      <c r="G8" s="130" t="s">
        <v>48</v>
      </c>
      <c r="H8" s="131" t="s">
        <v>31</v>
      </c>
      <c r="I8" s="41"/>
      <c r="J8" s="29"/>
    </row>
    <row r="9" spans="1:10" ht="138" x14ac:dyDescent="0.3">
      <c r="A9" s="132" t="s">
        <v>222</v>
      </c>
      <c r="B9" s="122" t="s">
        <v>223</v>
      </c>
      <c r="C9" s="122" t="s">
        <v>301</v>
      </c>
      <c r="D9" s="122" t="s">
        <v>302</v>
      </c>
      <c r="E9" s="122" t="s">
        <v>224</v>
      </c>
      <c r="F9" s="122" t="s">
        <v>34</v>
      </c>
      <c r="G9" s="133">
        <v>46325</v>
      </c>
      <c r="H9" s="134" t="s">
        <v>225</v>
      </c>
      <c r="I9" s="42"/>
      <c r="J9" s="5"/>
    </row>
    <row r="10" spans="1:10" ht="138" x14ac:dyDescent="0.3">
      <c r="A10" s="132" t="s">
        <v>226</v>
      </c>
      <c r="B10" s="122" t="s">
        <v>227</v>
      </c>
      <c r="C10" s="122" t="s">
        <v>303</v>
      </c>
      <c r="D10" s="122" t="s">
        <v>304</v>
      </c>
      <c r="E10" s="122" t="s">
        <v>224</v>
      </c>
      <c r="F10" s="122" t="s">
        <v>34</v>
      </c>
      <c r="G10" s="133">
        <v>46325</v>
      </c>
      <c r="H10" s="134" t="s">
        <v>228</v>
      </c>
      <c r="I10" s="43"/>
      <c r="J10" s="29"/>
    </row>
    <row r="11" spans="1:10" ht="138" x14ac:dyDescent="0.3">
      <c r="A11" s="132" t="s">
        <v>229</v>
      </c>
      <c r="B11" s="122" t="s">
        <v>230</v>
      </c>
      <c r="C11" s="122" t="s">
        <v>305</v>
      </c>
      <c r="D11" s="122" t="s">
        <v>306</v>
      </c>
      <c r="E11" s="122" t="s">
        <v>224</v>
      </c>
      <c r="F11" s="122" t="s">
        <v>34</v>
      </c>
      <c r="G11" s="133">
        <v>46325</v>
      </c>
      <c r="H11" s="134" t="s">
        <v>231</v>
      </c>
      <c r="I11" s="42"/>
      <c r="J11" s="5"/>
    </row>
    <row r="12" spans="1:10" ht="138" x14ac:dyDescent="0.3">
      <c r="A12" s="132" t="s">
        <v>232</v>
      </c>
      <c r="B12" s="122" t="s">
        <v>297</v>
      </c>
      <c r="C12" s="122" t="s">
        <v>307</v>
      </c>
      <c r="D12" s="122" t="s">
        <v>308</v>
      </c>
      <c r="E12" s="122" t="s">
        <v>224</v>
      </c>
      <c r="F12" s="122" t="s">
        <v>34</v>
      </c>
      <c r="G12" s="133">
        <v>46325</v>
      </c>
      <c r="H12" s="134" t="s">
        <v>233</v>
      </c>
      <c r="I12" s="44"/>
      <c r="J12" s="5"/>
    </row>
    <row r="13" spans="1:10" ht="138" x14ac:dyDescent="0.3">
      <c r="A13" s="132" t="s">
        <v>234</v>
      </c>
      <c r="B13" s="122" t="s">
        <v>235</v>
      </c>
      <c r="C13" s="122" t="s">
        <v>309</v>
      </c>
      <c r="D13" s="122" t="s">
        <v>310</v>
      </c>
      <c r="E13" s="122" t="s">
        <v>224</v>
      </c>
      <c r="F13" s="122" t="s">
        <v>34</v>
      </c>
      <c r="G13" s="133">
        <v>46325</v>
      </c>
      <c r="H13" s="134" t="s">
        <v>236</v>
      </c>
      <c r="I13" s="43"/>
      <c r="J13" s="29"/>
    </row>
    <row r="14" spans="1:10" ht="138" x14ac:dyDescent="0.3">
      <c r="A14" s="132" t="s">
        <v>237</v>
      </c>
      <c r="B14" s="122" t="s">
        <v>238</v>
      </c>
      <c r="C14" s="122" t="s">
        <v>311</v>
      </c>
      <c r="D14" s="122" t="s">
        <v>312</v>
      </c>
      <c r="E14" s="122" t="s">
        <v>224</v>
      </c>
      <c r="F14" s="122" t="s">
        <v>34</v>
      </c>
      <c r="G14" s="133">
        <v>46325</v>
      </c>
      <c r="H14" s="134" t="s">
        <v>239</v>
      </c>
      <c r="I14" s="42"/>
      <c r="J14" s="5"/>
    </row>
    <row r="15" spans="1:10" ht="120" customHeight="1" x14ac:dyDescent="0.3">
      <c r="A15" s="132" t="s">
        <v>240</v>
      </c>
      <c r="B15" s="122" t="s">
        <v>241</v>
      </c>
      <c r="C15" s="122" t="s">
        <v>313</v>
      </c>
      <c r="D15" s="122" t="s">
        <v>314</v>
      </c>
      <c r="E15" s="122" t="s">
        <v>224</v>
      </c>
      <c r="F15" s="122" t="s">
        <v>34</v>
      </c>
      <c r="G15" s="133">
        <v>46325</v>
      </c>
      <c r="H15" s="134" t="s">
        <v>242</v>
      </c>
      <c r="I15" s="44"/>
      <c r="J15" s="5"/>
    </row>
    <row r="16" spans="1:10" ht="136.80000000000001" customHeight="1" x14ac:dyDescent="0.3">
      <c r="A16" s="132" t="s">
        <v>243</v>
      </c>
      <c r="B16" s="122" t="s">
        <v>244</v>
      </c>
      <c r="C16" s="122" t="s">
        <v>315</v>
      </c>
      <c r="D16" s="122" t="s">
        <v>316</v>
      </c>
      <c r="E16" s="122" t="s">
        <v>224</v>
      </c>
      <c r="F16" s="122" t="s">
        <v>34</v>
      </c>
      <c r="G16" s="133">
        <v>46325</v>
      </c>
      <c r="H16" s="134" t="s">
        <v>245</v>
      </c>
    </row>
    <row r="17" spans="1:8" ht="124.2" customHeight="1" x14ac:dyDescent="0.3">
      <c r="A17" s="132" t="s">
        <v>246</v>
      </c>
      <c r="B17" s="122" t="s">
        <v>247</v>
      </c>
      <c r="C17" s="122" t="s">
        <v>317</v>
      </c>
      <c r="D17" s="122" t="s">
        <v>318</v>
      </c>
      <c r="E17" s="122" t="s">
        <v>224</v>
      </c>
      <c r="F17" s="122" t="s">
        <v>34</v>
      </c>
      <c r="G17" s="133">
        <v>46325</v>
      </c>
      <c r="H17" s="134" t="s">
        <v>248</v>
      </c>
    </row>
    <row r="18" spans="1:8" ht="158.4" customHeight="1" x14ac:dyDescent="0.3">
      <c r="A18" s="132" t="s">
        <v>249</v>
      </c>
      <c r="B18" s="122" t="s">
        <v>250</v>
      </c>
      <c r="C18" s="122" t="s">
        <v>319</v>
      </c>
      <c r="D18" s="122" t="s">
        <v>320</v>
      </c>
      <c r="E18" s="122" t="s">
        <v>251</v>
      </c>
      <c r="F18" s="122" t="s">
        <v>34</v>
      </c>
      <c r="G18" s="133">
        <v>46325</v>
      </c>
      <c r="H18" s="134" t="s">
        <v>252</v>
      </c>
    </row>
    <row r="19" spans="1:8" ht="151.80000000000001" x14ac:dyDescent="0.3">
      <c r="A19" s="132" t="s">
        <v>253</v>
      </c>
      <c r="B19" s="122" t="s">
        <v>254</v>
      </c>
      <c r="C19" s="122" t="s">
        <v>321</v>
      </c>
      <c r="D19" s="122" t="s">
        <v>322</v>
      </c>
      <c r="E19" s="122" t="s">
        <v>255</v>
      </c>
      <c r="F19" s="122" t="s">
        <v>34</v>
      </c>
      <c r="G19" s="133">
        <v>46325</v>
      </c>
      <c r="H19" s="134" t="s">
        <v>256</v>
      </c>
    </row>
    <row r="20" spans="1:8" ht="159" customHeight="1" x14ac:dyDescent="0.3">
      <c r="A20" s="132" t="s">
        <v>257</v>
      </c>
      <c r="B20" s="122" t="s">
        <v>258</v>
      </c>
      <c r="C20" s="122" t="s">
        <v>323</v>
      </c>
      <c r="D20" s="122" t="s">
        <v>324</v>
      </c>
      <c r="E20" s="122" t="s">
        <v>224</v>
      </c>
      <c r="F20" s="122" t="s">
        <v>34</v>
      </c>
      <c r="G20" s="133">
        <v>46325</v>
      </c>
      <c r="H20" s="134" t="s">
        <v>259</v>
      </c>
    </row>
    <row r="21" spans="1:8" ht="159" customHeight="1" x14ac:dyDescent="0.3">
      <c r="A21" s="132" t="s">
        <v>260</v>
      </c>
      <c r="B21" s="122" t="s">
        <v>261</v>
      </c>
      <c r="C21" s="122" t="s">
        <v>325</v>
      </c>
      <c r="D21" s="122" t="s">
        <v>326</v>
      </c>
      <c r="E21" s="122" t="s">
        <v>224</v>
      </c>
      <c r="F21" s="122" t="s">
        <v>34</v>
      </c>
      <c r="G21" s="133">
        <v>46325</v>
      </c>
      <c r="H21" s="134" t="s">
        <v>262</v>
      </c>
    </row>
    <row r="22" spans="1:8" ht="160.80000000000001" customHeight="1" x14ac:dyDescent="0.3">
      <c r="A22" s="132" t="s">
        <v>263</v>
      </c>
      <c r="B22" s="122" t="s">
        <v>264</v>
      </c>
      <c r="C22" s="122" t="s">
        <v>327</v>
      </c>
      <c r="D22" s="122" t="s">
        <v>326</v>
      </c>
      <c r="E22" s="122" t="s">
        <v>224</v>
      </c>
      <c r="F22" s="122" t="s">
        <v>34</v>
      </c>
      <c r="G22" s="133">
        <v>46325</v>
      </c>
      <c r="H22" s="134" t="s">
        <v>265</v>
      </c>
    </row>
    <row r="23" spans="1:8" ht="163.19999999999999" customHeight="1" x14ac:dyDescent="0.3">
      <c r="A23" s="132" t="s">
        <v>266</v>
      </c>
      <c r="B23" s="122" t="s">
        <v>267</v>
      </c>
      <c r="C23" s="122" t="s">
        <v>328</v>
      </c>
      <c r="D23" s="122" t="s">
        <v>326</v>
      </c>
      <c r="E23" s="122" t="s">
        <v>224</v>
      </c>
      <c r="F23" s="122" t="s">
        <v>34</v>
      </c>
      <c r="G23" s="133">
        <v>46325</v>
      </c>
      <c r="H23" s="134" t="s">
        <v>268</v>
      </c>
    </row>
    <row r="24" spans="1:8" ht="163.80000000000001" customHeight="1" x14ac:dyDescent="0.3">
      <c r="A24" s="132" t="s">
        <v>269</v>
      </c>
      <c r="B24" s="122" t="s">
        <v>270</v>
      </c>
      <c r="C24" s="122" t="s">
        <v>329</v>
      </c>
      <c r="D24" s="122" t="s">
        <v>330</v>
      </c>
      <c r="E24" s="122" t="s">
        <v>224</v>
      </c>
      <c r="F24" s="122" t="s">
        <v>34</v>
      </c>
      <c r="G24" s="133">
        <v>46325</v>
      </c>
      <c r="H24" s="134" t="s">
        <v>271</v>
      </c>
    </row>
    <row r="25" spans="1:8" ht="122.4" customHeight="1" x14ac:dyDescent="0.3">
      <c r="A25" s="132" t="s">
        <v>272</v>
      </c>
      <c r="B25" s="122" t="s">
        <v>298</v>
      </c>
      <c r="C25" s="122" t="s">
        <v>331</v>
      </c>
      <c r="D25" s="122" t="s">
        <v>332</v>
      </c>
      <c r="E25" s="122" t="s">
        <v>224</v>
      </c>
      <c r="F25" s="122" t="s">
        <v>34</v>
      </c>
      <c r="G25" s="133">
        <v>46325</v>
      </c>
      <c r="H25" s="134" t="s">
        <v>273</v>
      </c>
    </row>
    <row r="26" spans="1:8" ht="120" customHeight="1" x14ac:dyDescent="0.3">
      <c r="A26" s="132" t="s">
        <v>274</v>
      </c>
      <c r="B26" s="122" t="s">
        <v>299</v>
      </c>
      <c r="C26" s="122" t="s">
        <v>333</v>
      </c>
      <c r="D26" s="122" t="s">
        <v>334</v>
      </c>
      <c r="E26" s="122" t="s">
        <v>224</v>
      </c>
      <c r="F26" s="122" t="s">
        <v>34</v>
      </c>
      <c r="G26" s="133">
        <v>46325</v>
      </c>
      <c r="H26" s="134" t="s">
        <v>275</v>
      </c>
    </row>
    <row r="27" spans="1:8" ht="110.4" x14ac:dyDescent="0.3">
      <c r="A27" s="132" t="s">
        <v>276</v>
      </c>
      <c r="B27" s="122" t="s">
        <v>300</v>
      </c>
      <c r="C27" s="122" t="s">
        <v>335</v>
      </c>
      <c r="D27" s="122" t="s">
        <v>336</v>
      </c>
      <c r="E27" s="122" t="s">
        <v>224</v>
      </c>
      <c r="F27" s="122" t="s">
        <v>34</v>
      </c>
      <c r="G27" s="133">
        <v>46325</v>
      </c>
      <c r="H27" s="134" t="s">
        <v>277</v>
      </c>
    </row>
    <row r="28" spans="1:8" ht="111" customHeight="1" x14ac:dyDescent="0.3">
      <c r="A28" s="132" t="s">
        <v>278</v>
      </c>
      <c r="B28" s="122" t="s">
        <v>279</v>
      </c>
      <c r="C28" s="122" t="s">
        <v>337</v>
      </c>
      <c r="D28" s="122" t="s">
        <v>338</v>
      </c>
      <c r="E28" s="122" t="s">
        <v>224</v>
      </c>
      <c r="F28" s="122" t="s">
        <v>34</v>
      </c>
      <c r="G28" s="133">
        <v>46325</v>
      </c>
      <c r="H28" s="134" t="s">
        <v>280</v>
      </c>
    </row>
    <row r="29" spans="1:8" ht="121.2" customHeight="1" x14ac:dyDescent="0.3">
      <c r="A29" s="132" t="s">
        <v>281</v>
      </c>
      <c r="B29" s="122" t="s">
        <v>282</v>
      </c>
      <c r="C29" s="122" t="s">
        <v>339</v>
      </c>
      <c r="D29" s="122" t="s">
        <v>340</v>
      </c>
      <c r="E29" s="122" t="s">
        <v>224</v>
      </c>
      <c r="F29" s="122" t="s">
        <v>34</v>
      </c>
      <c r="G29" s="133">
        <v>46325</v>
      </c>
      <c r="H29" s="134" t="s">
        <v>283</v>
      </c>
    </row>
    <row r="30" spans="1:8" ht="135" customHeight="1" x14ac:dyDescent="0.3">
      <c r="A30" s="132" t="s">
        <v>284</v>
      </c>
      <c r="B30" s="122" t="s">
        <v>285</v>
      </c>
      <c r="C30" s="122" t="s">
        <v>341</v>
      </c>
      <c r="D30" s="122" t="s">
        <v>342</v>
      </c>
      <c r="E30" s="122" t="s">
        <v>224</v>
      </c>
      <c r="F30" s="122" t="s">
        <v>34</v>
      </c>
      <c r="G30" s="133">
        <v>46325</v>
      </c>
      <c r="H30" s="134" t="s">
        <v>286</v>
      </c>
    </row>
    <row r="31" spans="1:8" ht="132.6" customHeight="1" x14ac:dyDescent="0.3">
      <c r="A31" s="132" t="s">
        <v>287</v>
      </c>
      <c r="B31" s="122" t="s">
        <v>288</v>
      </c>
      <c r="C31" s="122" t="s">
        <v>343</v>
      </c>
      <c r="D31" s="122" t="s">
        <v>344</v>
      </c>
      <c r="E31" s="122" t="s">
        <v>289</v>
      </c>
      <c r="F31" s="122" t="s">
        <v>34</v>
      </c>
      <c r="G31" s="133">
        <v>46325</v>
      </c>
      <c r="H31" s="134" t="s">
        <v>290</v>
      </c>
    </row>
    <row r="32" spans="1:8" ht="160.19999999999999" customHeight="1" x14ac:dyDescent="0.3">
      <c r="A32" s="132" t="s">
        <v>291</v>
      </c>
      <c r="B32" s="122" t="s">
        <v>292</v>
      </c>
      <c r="C32" s="122" t="s">
        <v>345</v>
      </c>
      <c r="D32" s="122" t="s">
        <v>346</v>
      </c>
      <c r="E32" s="122" t="s">
        <v>289</v>
      </c>
      <c r="F32" s="122" t="s">
        <v>34</v>
      </c>
      <c r="G32" s="133">
        <v>46325</v>
      </c>
      <c r="H32" s="134" t="s">
        <v>293</v>
      </c>
    </row>
    <row r="33" spans="1:8" ht="145.80000000000001" customHeight="1" x14ac:dyDescent="0.3">
      <c r="A33" s="135" t="s">
        <v>294</v>
      </c>
      <c r="B33" s="136" t="s">
        <v>295</v>
      </c>
      <c r="C33" s="136" t="s">
        <v>347</v>
      </c>
      <c r="D33" s="136" t="s">
        <v>348</v>
      </c>
      <c r="E33" s="136" t="s">
        <v>289</v>
      </c>
      <c r="F33" s="136" t="s">
        <v>34</v>
      </c>
      <c r="G33" s="137">
        <v>46325</v>
      </c>
      <c r="H33" s="138" t="s">
        <v>296</v>
      </c>
    </row>
    <row r="34" spans="1:8" ht="14.4" x14ac:dyDescent="0.3"/>
    <row r="35" spans="1:8" ht="14.4" x14ac:dyDescent="0.3"/>
    <row r="36" spans="1:8" ht="14.4" x14ac:dyDescent="0.3"/>
    <row r="37" spans="1:8" ht="14.4" x14ac:dyDescent="0.3"/>
  </sheetData>
  <mergeCells count="5">
    <mergeCell ref="B2:H2"/>
    <mergeCell ref="B3:H3"/>
    <mergeCell ref="B4:H4"/>
    <mergeCell ref="F5:H5"/>
    <mergeCell ref="F6:H6"/>
  </mergeCells>
  <dataValidations count="1">
    <dataValidation type="list" allowBlank="1" showInputMessage="1" showErrorMessage="1" prompt=" - " sqref="F1 F7:F8 F34:F159" xr:uid="{9D697D28-BF50-4929-B6EB-7913B89CE334}">
      <formula1>$J$2:$J$6</formula1>
    </dataValidation>
  </dataValidations>
  <pageMargins left="0.7" right="0.7" top="0.75" bottom="0.75" header="0" footer="0"/>
  <pageSetup orientation="landscape" r:id="rId1"/>
  <legacy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38917-0039-4AA2-9F38-87D1942AA272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tabSelected="1" workbookViewId="0">
      <selection activeCell="E19" sqref="E19"/>
    </sheetView>
  </sheetViews>
  <sheetFormatPr defaultColWidth="14.44140625" defaultRowHeight="15" customHeight="1" x14ac:dyDescent="0.3"/>
  <cols>
    <col min="1" max="1" width="10.33203125" customWidth="1"/>
    <col min="2" max="2" width="15.44140625" customWidth="1"/>
    <col min="3" max="3" width="22.109375" customWidth="1"/>
    <col min="4" max="6" width="10.33203125" customWidth="1"/>
    <col min="7" max="7" width="12.88671875" customWidth="1"/>
    <col min="8" max="8" width="11.6640625" customWidth="1"/>
    <col min="9" max="9" width="30.109375" customWidth="1"/>
    <col min="10" max="26" width="9.109375" customWidth="1"/>
  </cols>
  <sheetData>
    <row r="1" spans="1:26" ht="25.5" customHeight="1" x14ac:dyDescent="0.4">
      <c r="A1" s="5"/>
      <c r="B1" s="118" t="s">
        <v>51</v>
      </c>
      <c r="C1" s="119"/>
      <c r="D1" s="119"/>
      <c r="E1" s="119"/>
      <c r="F1" s="119"/>
      <c r="G1" s="119"/>
      <c r="H1" s="120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4.25" customHeight="1" x14ac:dyDescent="0.3">
      <c r="A2" s="45"/>
      <c r="B2" s="45"/>
      <c r="C2" s="5"/>
      <c r="D2" s="5"/>
      <c r="E2" s="5"/>
      <c r="F2" s="5"/>
      <c r="G2" s="5"/>
      <c r="H2" s="46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2" customHeight="1" x14ac:dyDescent="0.3">
      <c r="A3" s="5"/>
      <c r="B3" s="47" t="s">
        <v>1</v>
      </c>
      <c r="C3" s="109" t="str">
        <f>Cover!C4</f>
        <v>group02-mahocommerce-testing</v>
      </c>
      <c r="D3" s="97"/>
      <c r="E3" s="116" t="s">
        <v>2</v>
      </c>
      <c r="F3" s="97"/>
      <c r="G3" s="94" t="s">
        <v>63</v>
      </c>
      <c r="H3" s="48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2" customHeight="1" x14ac:dyDescent="0.3">
      <c r="A4" s="5"/>
      <c r="B4" s="47" t="s">
        <v>3</v>
      </c>
      <c r="C4" s="109" t="str">
        <f>Cover!C5</f>
        <v>group02-mahocommerce-testing</v>
      </c>
      <c r="D4" s="97"/>
      <c r="E4" s="116" t="s">
        <v>4</v>
      </c>
      <c r="F4" s="97"/>
      <c r="G4" s="94" t="s">
        <v>157</v>
      </c>
      <c r="H4" s="48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2" customHeight="1" x14ac:dyDescent="0.3">
      <c r="A5" s="5"/>
      <c r="B5" s="49" t="s">
        <v>5</v>
      </c>
      <c r="C5" s="109" t="str">
        <f>C4&amp;"_"&amp;"Test Report"&amp;"_"&amp;"v0.1"</f>
        <v>group02-mahocommerce-testing_Test Report_v0.1</v>
      </c>
      <c r="D5" s="97"/>
      <c r="E5" s="116" t="s">
        <v>6</v>
      </c>
      <c r="F5" s="97"/>
      <c r="G5" s="50">
        <v>46316</v>
      </c>
      <c r="H5" s="51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29.25" customHeight="1" x14ac:dyDescent="0.3">
      <c r="A6" s="45"/>
      <c r="B6" s="49" t="s">
        <v>52</v>
      </c>
      <c r="C6" s="117" t="s">
        <v>53</v>
      </c>
      <c r="D6" s="96"/>
      <c r="E6" s="96"/>
      <c r="F6" s="96"/>
      <c r="G6" s="96"/>
      <c r="H6" s="97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4.25" customHeight="1" x14ac:dyDescent="0.3">
      <c r="A7" s="45"/>
      <c r="B7" s="9"/>
      <c r="C7" s="52"/>
      <c r="D7" s="5"/>
      <c r="E7" s="5"/>
      <c r="F7" s="5"/>
      <c r="G7" s="5"/>
      <c r="H7" s="46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2.75" customHeight="1" x14ac:dyDescent="0.3">
      <c r="A8" s="5"/>
      <c r="B8" s="9"/>
      <c r="C8" s="52"/>
      <c r="D8" s="5"/>
      <c r="E8" s="5"/>
      <c r="F8" s="5"/>
      <c r="G8" s="5"/>
      <c r="H8" s="46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2.75" customHeight="1" x14ac:dyDescent="0.3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2.75" customHeight="1" x14ac:dyDescent="0.3">
      <c r="A10" s="53"/>
      <c r="B10" s="54" t="s">
        <v>20</v>
      </c>
      <c r="C10" s="55" t="s">
        <v>54</v>
      </c>
      <c r="D10" s="56" t="s">
        <v>55</v>
      </c>
      <c r="E10" s="55" t="s">
        <v>56</v>
      </c>
      <c r="F10" s="55" t="s">
        <v>39</v>
      </c>
      <c r="G10" s="57" t="s">
        <v>38</v>
      </c>
      <c r="H10" s="58" t="s">
        <v>40</v>
      </c>
      <c r="I10" s="58" t="s">
        <v>57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2.75" customHeight="1" x14ac:dyDescent="0.3">
      <c r="A11" s="53"/>
      <c r="B11" s="59">
        <v>1</v>
      </c>
      <c r="C11" s="60" t="e" cm="1" vm="1">
        <f t="array" aca="1" ref="C11" ca="1">'Test Report'!B2:H2</f>
        <v>#VALUE!</v>
      </c>
      <c r="D11" s="61" t="e">
        <f>#REF!</f>
        <v>#REF!</v>
      </c>
      <c r="E11" s="61" t="e">
        <f>#REF!</f>
        <v>#REF!</v>
      </c>
      <c r="F11" s="61" t="e">
        <f>#REF!</f>
        <v>#REF!</v>
      </c>
      <c r="G11" s="62" t="e">
        <f>#REF!</f>
        <v>#REF!</v>
      </c>
      <c r="H11" s="62" t="e">
        <f>#REF!</f>
        <v>#REF!</v>
      </c>
      <c r="I11" s="63" t="e">
        <f>#REF!</f>
        <v>#REF!</v>
      </c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2.75" customHeight="1" x14ac:dyDescent="0.3">
      <c r="A12" s="53"/>
      <c r="B12" s="59">
        <v>2</v>
      </c>
      <c r="C12" s="60" t="e">
        <f>#REF!</f>
        <v>#REF!</v>
      </c>
      <c r="D12" s="61" t="e">
        <f>#REF!</f>
        <v>#REF!</v>
      </c>
      <c r="E12" s="61" t="e">
        <f>#REF!</f>
        <v>#REF!</v>
      </c>
      <c r="F12" s="61" t="e">
        <f>#REF!</f>
        <v>#REF!</v>
      </c>
      <c r="G12" s="62" t="e">
        <f>#REF!</f>
        <v>#REF!</v>
      </c>
      <c r="H12" s="62" t="e">
        <f>#REF!</f>
        <v>#REF!</v>
      </c>
      <c r="I12" s="63" t="e">
        <f>#REF!</f>
        <v>#REF!</v>
      </c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2.75" customHeight="1" x14ac:dyDescent="0.3">
      <c r="A13" s="53"/>
      <c r="B13" s="59">
        <v>3</v>
      </c>
      <c r="C13" s="60" t="e">
        <f>#REF!</f>
        <v>#REF!</v>
      </c>
      <c r="D13" s="61" t="e">
        <f>#REF!</f>
        <v>#REF!</v>
      </c>
      <c r="E13" s="61" t="e">
        <f>#REF!</f>
        <v>#REF!</v>
      </c>
      <c r="F13" s="61" t="e">
        <f>#REF!</f>
        <v>#REF!</v>
      </c>
      <c r="G13" s="61" t="e">
        <f>#REF!</f>
        <v>#REF!</v>
      </c>
      <c r="H13" s="61" t="e">
        <f>#REF!</f>
        <v>#REF!</v>
      </c>
      <c r="I13" s="63" t="e">
        <f>#REF!</f>
        <v>#REF!</v>
      </c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2.75" customHeight="1" x14ac:dyDescent="0.3">
      <c r="A14" s="53"/>
      <c r="B14" s="59"/>
      <c r="C14" s="60"/>
      <c r="D14" s="61"/>
      <c r="E14" s="61"/>
      <c r="F14" s="61"/>
      <c r="G14" s="62"/>
      <c r="H14" s="62"/>
      <c r="I14" s="63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2.75" customHeight="1" x14ac:dyDescent="0.3">
      <c r="A15" s="53"/>
      <c r="B15" s="64"/>
      <c r="C15" s="65" t="s">
        <v>58</v>
      </c>
      <c r="D15" s="66" t="e">
        <f t="shared" ref="D15:I15" si="0">SUM(D9:D14)</f>
        <v>#REF!</v>
      </c>
      <c r="E15" s="66" t="e">
        <f t="shared" si="0"/>
        <v>#REF!</v>
      </c>
      <c r="F15" s="66" t="e">
        <f t="shared" si="0"/>
        <v>#REF!</v>
      </c>
      <c r="G15" s="66" t="e">
        <f t="shared" si="0"/>
        <v>#REF!</v>
      </c>
      <c r="H15" s="67" t="e">
        <f t="shared" si="0"/>
        <v>#REF!</v>
      </c>
      <c r="I15" s="67" t="e">
        <f t="shared" si="0"/>
        <v>#REF!</v>
      </c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2.75" customHeight="1" x14ac:dyDescent="0.3">
      <c r="A16" s="5"/>
      <c r="B16" s="68"/>
      <c r="C16" s="5"/>
      <c r="D16" s="69"/>
      <c r="E16" s="70"/>
      <c r="F16" s="70"/>
      <c r="G16" s="70"/>
      <c r="H16" s="70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2.75" customHeight="1" x14ac:dyDescent="0.3">
      <c r="A17" s="5"/>
      <c r="B17" s="5"/>
      <c r="C17" s="3" t="s">
        <v>59</v>
      </c>
      <c r="D17" s="5"/>
      <c r="E17" s="71" t="e">
        <f>(D15+E15)*100/(I15-H15-G15)</f>
        <v>#REF!</v>
      </c>
      <c r="F17" s="5" t="s">
        <v>60</v>
      </c>
      <c r="G17" s="5"/>
      <c r="H17" s="39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2.75" customHeight="1" x14ac:dyDescent="0.3">
      <c r="A18" s="5"/>
      <c r="B18" s="5"/>
      <c r="C18" s="3" t="s">
        <v>61</v>
      </c>
      <c r="D18" s="5"/>
      <c r="E18" s="71" t="e">
        <f>D15*100/(D15+E15)</f>
        <v>#REF!</v>
      </c>
      <c r="F18" s="5" t="s">
        <v>60</v>
      </c>
      <c r="G18" s="5"/>
      <c r="H18" s="39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2.75" customHeight="1" x14ac:dyDescent="0.3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2.75" customHeight="1" x14ac:dyDescent="0.3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2.75" customHeight="1" x14ac:dyDescent="0.3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2.75" customHeight="1" x14ac:dyDescent="0.3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2.75" customHeight="1" x14ac:dyDescent="0.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2.75" customHeight="1" x14ac:dyDescent="0.3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2.75" customHeight="1" x14ac:dyDescent="0.3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2.75" customHeight="1" x14ac:dyDescent="0.3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2.75" customHeight="1" x14ac:dyDescent="0.3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2.75" customHeight="1" x14ac:dyDescent="0.3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2.75" customHeight="1" x14ac:dyDescent="0.3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2.75" customHeight="1" x14ac:dyDescent="0.3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2.75" customHeight="1" x14ac:dyDescent="0.3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2.75" customHeight="1" x14ac:dyDescent="0.3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2.75" customHeight="1" x14ac:dyDescent="0.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2.75" customHeight="1" x14ac:dyDescent="0.3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2.75" customHeight="1" x14ac:dyDescent="0.3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2.75" customHeight="1" x14ac:dyDescent="0.3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2.75" customHeight="1" x14ac:dyDescent="0.3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2.75" customHeight="1" x14ac:dyDescent="0.3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2.75" customHeight="1" x14ac:dyDescent="0.3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2.75" customHeight="1" x14ac:dyDescent="0.3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2.75" customHeight="1" x14ac:dyDescent="0.3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2.75" customHeight="1" x14ac:dyDescent="0.3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2.75" customHeight="1" x14ac:dyDescent="0.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2.75" customHeight="1" x14ac:dyDescent="0.3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2.75" customHeight="1" x14ac:dyDescent="0.3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2.75" customHeight="1" x14ac:dyDescent="0.3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2.75" customHeight="1" x14ac:dyDescent="0.3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2.75" customHeight="1" x14ac:dyDescent="0.3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2.75" customHeight="1" x14ac:dyDescent="0.3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2.75" customHeight="1" x14ac:dyDescent="0.3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2.75" customHeight="1" x14ac:dyDescent="0.3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2.75" customHeight="1" x14ac:dyDescent="0.3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2.75" customHeight="1" x14ac:dyDescent="0.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2.75" customHeight="1" x14ac:dyDescent="0.3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2.75" customHeight="1" x14ac:dyDescent="0.3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2.75" customHeight="1" x14ac:dyDescent="0.3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2.75" customHeight="1" x14ac:dyDescent="0.3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2.75" customHeight="1" x14ac:dyDescent="0.3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2.75" customHeight="1" x14ac:dyDescent="0.3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2.75" customHeight="1" x14ac:dyDescent="0.3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2.75" customHeight="1" x14ac:dyDescent="0.3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2.75" customHeight="1" x14ac:dyDescent="0.3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2.75" customHeight="1" x14ac:dyDescent="0.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2.75" customHeight="1" x14ac:dyDescent="0.3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2.75" customHeight="1" x14ac:dyDescent="0.3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2.75" customHeight="1" x14ac:dyDescent="0.3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2.75" customHeight="1" x14ac:dyDescent="0.3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2.75" customHeight="1" x14ac:dyDescent="0.3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2.75" customHeight="1" x14ac:dyDescent="0.3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2.75" customHeight="1" x14ac:dyDescent="0.3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2.75" customHeight="1" x14ac:dyDescent="0.3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2.75" customHeight="1" x14ac:dyDescent="0.3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2.75" customHeight="1" x14ac:dyDescent="0.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2.75" customHeight="1" x14ac:dyDescent="0.3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2.75" customHeight="1" x14ac:dyDescent="0.3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2.75" customHeight="1" x14ac:dyDescent="0.3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2.75" customHeight="1" x14ac:dyDescent="0.3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2.75" customHeight="1" x14ac:dyDescent="0.3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2.75" customHeight="1" x14ac:dyDescent="0.3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2.75" customHeight="1" x14ac:dyDescent="0.3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2.75" customHeight="1" x14ac:dyDescent="0.3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2.75" customHeight="1" x14ac:dyDescent="0.3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2.75" customHeight="1" x14ac:dyDescent="0.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2.75" customHeight="1" x14ac:dyDescent="0.3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2.75" customHeight="1" x14ac:dyDescent="0.3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2.75" customHeight="1" x14ac:dyDescent="0.3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2.75" customHeight="1" x14ac:dyDescent="0.3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2.75" customHeight="1" x14ac:dyDescent="0.3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2.75" customHeight="1" x14ac:dyDescent="0.3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2.75" customHeight="1" x14ac:dyDescent="0.3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2.75" customHeight="1" x14ac:dyDescent="0.3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2.75" customHeight="1" x14ac:dyDescent="0.3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2.75" customHeight="1" x14ac:dyDescent="0.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2.75" customHeight="1" x14ac:dyDescent="0.3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2.75" customHeight="1" x14ac:dyDescent="0.3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2.75" customHeight="1" x14ac:dyDescent="0.3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2.75" customHeight="1" x14ac:dyDescent="0.3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2.75" customHeight="1" x14ac:dyDescent="0.3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2.75" customHeight="1" x14ac:dyDescent="0.3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2.75" customHeight="1" x14ac:dyDescent="0.3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2.75" customHeight="1" x14ac:dyDescent="0.3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2.75" customHeight="1" x14ac:dyDescent="0.3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2.75" customHeight="1" x14ac:dyDescent="0.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2.75" customHeight="1" x14ac:dyDescent="0.3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2.75" customHeight="1" x14ac:dyDescent="0.3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2.75" customHeight="1" x14ac:dyDescent="0.3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2.75" customHeight="1" x14ac:dyDescent="0.3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2.75" customHeight="1" x14ac:dyDescent="0.3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2.75" customHeight="1" x14ac:dyDescent="0.3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2.75" customHeight="1" x14ac:dyDescent="0.3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2.75" customHeight="1" x14ac:dyDescent="0.3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2.75" customHeight="1" x14ac:dyDescent="0.3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2.75" customHeight="1" x14ac:dyDescent="0.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2.75" customHeight="1" x14ac:dyDescent="0.3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2.75" customHeight="1" x14ac:dyDescent="0.3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2.75" customHeight="1" x14ac:dyDescent="0.3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2.75" customHeight="1" x14ac:dyDescent="0.3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2.75" customHeight="1" x14ac:dyDescent="0.3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2.75" customHeight="1" x14ac:dyDescent="0.3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2.75" customHeight="1" x14ac:dyDescent="0.3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2.75" customHeight="1" x14ac:dyDescent="0.3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2.75" customHeight="1" x14ac:dyDescent="0.3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2.75" customHeight="1" x14ac:dyDescent="0.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2.75" customHeight="1" x14ac:dyDescent="0.3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2.75" customHeight="1" x14ac:dyDescent="0.3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2.75" customHeight="1" x14ac:dyDescent="0.3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2.75" customHeight="1" x14ac:dyDescent="0.3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2.75" customHeight="1" x14ac:dyDescent="0.3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2.75" customHeight="1" x14ac:dyDescent="0.3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2.75" customHeight="1" x14ac:dyDescent="0.3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2.75" customHeight="1" x14ac:dyDescent="0.3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2.75" customHeight="1" x14ac:dyDescent="0.3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2.75" customHeight="1" x14ac:dyDescent="0.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2.75" customHeight="1" x14ac:dyDescent="0.3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2.75" customHeight="1" x14ac:dyDescent="0.3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2.75" customHeight="1" x14ac:dyDescent="0.3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2.75" customHeight="1" x14ac:dyDescent="0.3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2.75" customHeight="1" x14ac:dyDescent="0.3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2.75" customHeight="1" x14ac:dyDescent="0.3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2.75" customHeight="1" x14ac:dyDescent="0.3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2.75" customHeight="1" x14ac:dyDescent="0.3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2.75" customHeight="1" x14ac:dyDescent="0.3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2.75" customHeight="1" x14ac:dyDescent="0.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2.75" customHeight="1" x14ac:dyDescent="0.3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2.75" customHeight="1" x14ac:dyDescent="0.3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2.75" customHeight="1" x14ac:dyDescent="0.3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2.75" customHeight="1" x14ac:dyDescent="0.3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2.75" customHeight="1" x14ac:dyDescent="0.3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2.75" customHeight="1" x14ac:dyDescent="0.3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2.75" customHeight="1" x14ac:dyDescent="0.3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2.75" customHeight="1" x14ac:dyDescent="0.3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2.75" customHeight="1" x14ac:dyDescent="0.3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2.75" customHeight="1" x14ac:dyDescent="0.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2.75" customHeight="1" x14ac:dyDescent="0.3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2.75" customHeight="1" x14ac:dyDescent="0.3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2.75" customHeight="1" x14ac:dyDescent="0.3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2.75" customHeight="1" x14ac:dyDescent="0.3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2.75" customHeight="1" x14ac:dyDescent="0.3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2.75" customHeight="1" x14ac:dyDescent="0.3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2.75" customHeight="1" x14ac:dyDescent="0.3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2.75" customHeight="1" x14ac:dyDescent="0.3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2.75" customHeight="1" x14ac:dyDescent="0.3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2.75" customHeight="1" x14ac:dyDescent="0.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2.75" customHeight="1" x14ac:dyDescent="0.3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2.75" customHeight="1" x14ac:dyDescent="0.3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2.75" customHeight="1" x14ac:dyDescent="0.3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2.75" customHeight="1" x14ac:dyDescent="0.3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2.75" customHeight="1" x14ac:dyDescent="0.3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2.75" customHeight="1" x14ac:dyDescent="0.3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2.75" customHeight="1" x14ac:dyDescent="0.3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2.75" customHeight="1" x14ac:dyDescent="0.3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2.75" customHeight="1" x14ac:dyDescent="0.3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2.75" customHeight="1" x14ac:dyDescent="0.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2.75" customHeight="1" x14ac:dyDescent="0.3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2.75" customHeight="1" x14ac:dyDescent="0.3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2.75" customHeight="1" x14ac:dyDescent="0.3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2.75" customHeight="1" x14ac:dyDescent="0.3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2.75" customHeight="1" x14ac:dyDescent="0.3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2.75" customHeight="1" x14ac:dyDescent="0.3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2.75" customHeight="1" x14ac:dyDescent="0.3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2.75" customHeight="1" x14ac:dyDescent="0.3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2.75" customHeight="1" x14ac:dyDescent="0.3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2.75" customHeight="1" x14ac:dyDescent="0.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2.75" customHeight="1" x14ac:dyDescent="0.3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2.75" customHeight="1" x14ac:dyDescent="0.3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2.75" customHeight="1" x14ac:dyDescent="0.3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2.75" customHeight="1" x14ac:dyDescent="0.3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2.75" customHeight="1" x14ac:dyDescent="0.3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2.75" customHeight="1" x14ac:dyDescent="0.3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2.75" customHeight="1" x14ac:dyDescent="0.3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2.75" customHeight="1" x14ac:dyDescent="0.3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2.75" customHeight="1" x14ac:dyDescent="0.3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2.75" customHeight="1" x14ac:dyDescent="0.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2.75" customHeight="1" x14ac:dyDescent="0.3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2.75" customHeight="1" x14ac:dyDescent="0.3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2.75" customHeight="1" x14ac:dyDescent="0.3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2.75" customHeight="1" x14ac:dyDescent="0.3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2.75" customHeight="1" x14ac:dyDescent="0.3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2.75" customHeight="1" x14ac:dyDescent="0.3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2.75" customHeight="1" x14ac:dyDescent="0.3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2.75" customHeight="1" x14ac:dyDescent="0.3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2.75" customHeight="1" x14ac:dyDescent="0.3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2.75" customHeight="1" x14ac:dyDescent="0.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2.75" customHeight="1" x14ac:dyDescent="0.3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2.75" customHeight="1" x14ac:dyDescent="0.3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2.75" customHeight="1" x14ac:dyDescent="0.3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2.75" customHeight="1" x14ac:dyDescent="0.3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2.75" customHeight="1" x14ac:dyDescent="0.3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2.75" customHeight="1" x14ac:dyDescent="0.3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2.75" customHeight="1" x14ac:dyDescent="0.3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2.75" customHeight="1" x14ac:dyDescent="0.3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2.75" customHeight="1" x14ac:dyDescent="0.3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2.75" customHeight="1" x14ac:dyDescent="0.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2.75" customHeight="1" x14ac:dyDescent="0.3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2.75" customHeight="1" x14ac:dyDescent="0.3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2.75" customHeight="1" x14ac:dyDescent="0.3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2.75" customHeight="1" x14ac:dyDescent="0.3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2.75" customHeight="1" x14ac:dyDescent="0.3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2.75" customHeight="1" x14ac:dyDescent="0.3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2.75" customHeight="1" x14ac:dyDescent="0.3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2.75" customHeight="1" x14ac:dyDescent="0.3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2.75" customHeight="1" x14ac:dyDescent="0.3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2.75" customHeight="1" x14ac:dyDescent="0.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2.75" customHeight="1" x14ac:dyDescent="0.3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2.75" customHeight="1" x14ac:dyDescent="0.3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2.75" customHeight="1" x14ac:dyDescent="0.3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2.75" customHeight="1" x14ac:dyDescent="0.3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2.75" customHeight="1" x14ac:dyDescent="0.3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2.75" customHeight="1" x14ac:dyDescent="0.3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2.75" customHeight="1" x14ac:dyDescent="0.3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2.75" customHeight="1" x14ac:dyDescent="0.3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2.75" customHeight="1" x14ac:dyDescent="0.3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2.75" customHeight="1" x14ac:dyDescent="0.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2.75" customHeight="1" x14ac:dyDescent="0.3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2.75" customHeight="1" x14ac:dyDescent="0.3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2.75" customHeight="1" x14ac:dyDescent="0.3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2.75" customHeight="1" x14ac:dyDescent="0.3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2.75" customHeight="1" x14ac:dyDescent="0.3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2.75" customHeight="1" x14ac:dyDescent="0.3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2.75" customHeight="1" x14ac:dyDescent="0.3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2.75" customHeight="1" x14ac:dyDescent="0.3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2.75" customHeight="1" x14ac:dyDescent="0.3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2.75" customHeight="1" x14ac:dyDescent="0.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2.75" customHeight="1" x14ac:dyDescent="0.3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2.75" customHeight="1" x14ac:dyDescent="0.3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2.75" customHeight="1" x14ac:dyDescent="0.3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2.75" customHeight="1" x14ac:dyDescent="0.3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2.75" customHeight="1" x14ac:dyDescent="0.3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2.75" customHeight="1" x14ac:dyDescent="0.3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2.75" customHeight="1" x14ac:dyDescent="0.3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2.75" customHeight="1" x14ac:dyDescent="0.3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2.75" customHeight="1" x14ac:dyDescent="0.3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2.75" customHeight="1" x14ac:dyDescent="0.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2.75" customHeight="1" x14ac:dyDescent="0.3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2.75" customHeight="1" x14ac:dyDescent="0.3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2.75" customHeight="1" x14ac:dyDescent="0.3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2.75" customHeight="1" x14ac:dyDescent="0.3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2.75" customHeight="1" x14ac:dyDescent="0.3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2.75" customHeight="1" x14ac:dyDescent="0.3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2.75" customHeight="1" x14ac:dyDescent="0.3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2.75" customHeight="1" x14ac:dyDescent="0.3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2.75" customHeight="1" x14ac:dyDescent="0.3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2.75" customHeight="1" x14ac:dyDescent="0.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2.75" customHeight="1" x14ac:dyDescent="0.3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2.75" customHeight="1" x14ac:dyDescent="0.3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2.75" customHeight="1" x14ac:dyDescent="0.3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2.75" customHeight="1" x14ac:dyDescent="0.3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2.75" customHeight="1" x14ac:dyDescent="0.3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2.75" customHeight="1" x14ac:dyDescent="0.3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2.75" customHeight="1" x14ac:dyDescent="0.3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2.75" customHeight="1" x14ac:dyDescent="0.3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2.75" customHeight="1" x14ac:dyDescent="0.3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2.75" customHeight="1" x14ac:dyDescent="0.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2.75" customHeight="1" x14ac:dyDescent="0.3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2.75" customHeight="1" x14ac:dyDescent="0.3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2.75" customHeight="1" x14ac:dyDescent="0.3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2.75" customHeight="1" x14ac:dyDescent="0.3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2.75" customHeight="1" x14ac:dyDescent="0.3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2.75" customHeight="1" x14ac:dyDescent="0.3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2.75" customHeight="1" x14ac:dyDescent="0.3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2.75" customHeight="1" x14ac:dyDescent="0.3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2.75" customHeight="1" x14ac:dyDescent="0.3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2.75" customHeight="1" x14ac:dyDescent="0.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2.75" customHeight="1" x14ac:dyDescent="0.3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2.75" customHeight="1" x14ac:dyDescent="0.3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2.75" customHeight="1" x14ac:dyDescent="0.3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2.75" customHeight="1" x14ac:dyDescent="0.3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2.75" customHeight="1" x14ac:dyDescent="0.3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2.75" customHeight="1" x14ac:dyDescent="0.3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2.75" customHeight="1" x14ac:dyDescent="0.3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2.75" customHeight="1" x14ac:dyDescent="0.3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2.75" customHeight="1" x14ac:dyDescent="0.3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2.75" customHeight="1" x14ac:dyDescent="0.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2.75" customHeight="1" x14ac:dyDescent="0.3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2.75" customHeight="1" x14ac:dyDescent="0.3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2.75" customHeight="1" x14ac:dyDescent="0.3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2.75" customHeight="1" x14ac:dyDescent="0.3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2.75" customHeight="1" x14ac:dyDescent="0.3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2.75" customHeight="1" x14ac:dyDescent="0.3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2.75" customHeight="1" x14ac:dyDescent="0.3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2.75" customHeight="1" x14ac:dyDescent="0.3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2.75" customHeight="1" x14ac:dyDescent="0.3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2.75" customHeight="1" x14ac:dyDescent="0.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2.75" customHeight="1" x14ac:dyDescent="0.3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2.75" customHeight="1" x14ac:dyDescent="0.3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2.75" customHeight="1" x14ac:dyDescent="0.3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2.75" customHeight="1" x14ac:dyDescent="0.3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2.75" customHeight="1" x14ac:dyDescent="0.3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2.75" customHeight="1" x14ac:dyDescent="0.3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2.75" customHeight="1" x14ac:dyDescent="0.3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2.75" customHeight="1" x14ac:dyDescent="0.3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2.75" customHeight="1" x14ac:dyDescent="0.3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2.75" customHeight="1" x14ac:dyDescent="0.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2.75" customHeight="1" x14ac:dyDescent="0.3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2.75" customHeight="1" x14ac:dyDescent="0.3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2.75" customHeight="1" x14ac:dyDescent="0.3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2.75" customHeight="1" x14ac:dyDescent="0.3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2.75" customHeight="1" x14ac:dyDescent="0.3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2.75" customHeight="1" x14ac:dyDescent="0.3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2.75" customHeight="1" x14ac:dyDescent="0.3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2.75" customHeight="1" x14ac:dyDescent="0.3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2.75" customHeight="1" x14ac:dyDescent="0.3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2.75" customHeight="1" x14ac:dyDescent="0.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2.75" customHeight="1" x14ac:dyDescent="0.3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2.75" customHeight="1" x14ac:dyDescent="0.3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2.75" customHeight="1" x14ac:dyDescent="0.3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2.75" customHeight="1" x14ac:dyDescent="0.3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2.75" customHeight="1" x14ac:dyDescent="0.3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2.75" customHeight="1" x14ac:dyDescent="0.3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2.75" customHeight="1" x14ac:dyDescent="0.3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2.75" customHeight="1" x14ac:dyDescent="0.3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2.75" customHeight="1" x14ac:dyDescent="0.3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2.75" customHeight="1" x14ac:dyDescent="0.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2.75" customHeight="1" x14ac:dyDescent="0.3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2.75" customHeight="1" x14ac:dyDescent="0.3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2.75" customHeight="1" x14ac:dyDescent="0.3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2.75" customHeight="1" x14ac:dyDescent="0.3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2.75" customHeight="1" x14ac:dyDescent="0.3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2.75" customHeight="1" x14ac:dyDescent="0.3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2.75" customHeight="1" x14ac:dyDescent="0.3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2.75" customHeight="1" x14ac:dyDescent="0.3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2.75" customHeight="1" x14ac:dyDescent="0.3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2.75" customHeight="1" x14ac:dyDescent="0.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2.75" customHeight="1" x14ac:dyDescent="0.3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2.75" customHeight="1" x14ac:dyDescent="0.3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2.75" customHeight="1" x14ac:dyDescent="0.3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2.75" customHeight="1" x14ac:dyDescent="0.3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2.75" customHeight="1" x14ac:dyDescent="0.3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2.75" customHeight="1" x14ac:dyDescent="0.3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2.75" customHeight="1" x14ac:dyDescent="0.3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2.75" customHeight="1" x14ac:dyDescent="0.3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2.75" customHeight="1" x14ac:dyDescent="0.3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2.75" customHeight="1" x14ac:dyDescent="0.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2.75" customHeight="1" x14ac:dyDescent="0.3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2.75" customHeight="1" x14ac:dyDescent="0.3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2.75" customHeight="1" x14ac:dyDescent="0.3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2.75" customHeight="1" x14ac:dyDescent="0.3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2.75" customHeight="1" x14ac:dyDescent="0.3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2.75" customHeight="1" x14ac:dyDescent="0.3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2.75" customHeight="1" x14ac:dyDescent="0.3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2.75" customHeight="1" x14ac:dyDescent="0.3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2.75" customHeight="1" x14ac:dyDescent="0.3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2.75" customHeight="1" x14ac:dyDescent="0.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2.75" customHeight="1" x14ac:dyDescent="0.3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2.75" customHeight="1" x14ac:dyDescent="0.3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2.75" customHeight="1" x14ac:dyDescent="0.3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2.75" customHeight="1" x14ac:dyDescent="0.3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2.75" customHeight="1" x14ac:dyDescent="0.3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2.75" customHeight="1" x14ac:dyDescent="0.3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2.75" customHeight="1" x14ac:dyDescent="0.3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2.75" customHeight="1" x14ac:dyDescent="0.3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2.75" customHeight="1" x14ac:dyDescent="0.3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2.75" customHeight="1" x14ac:dyDescent="0.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2.75" customHeight="1" x14ac:dyDescent="0.3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2.75" customHeight="1" x14ac:dyDescent="0.3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2.75" customHeight="1" x14ac:dyDescent="0.3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2.75" customHeight="1" x14ac:dyDescent="0.3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2.75" customHeight="1" x14ac:dyDescent="0.3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2.75" customHeight="1" x14ac:dyDescent="0.3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2.75" customHeight="1" x14ac:dyDescent="0.3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2.75" customHeight="1" x14ac:dyDescent="0.3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2.75" customHeight="1" x14ac:dyDescent="0.3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2.75" customHeight="1" x14ac:dyDescent="0.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2.75" customHeight="1" x14ac:dyDescent="0.3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2.75" customHeight="1" x14ac:dyDescent="0.3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2.75" customHeight="1" x14ac:dyDescent="0.3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2.75" customHeight="1" x14ac:dyDescent="0.3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2.75" customHeight="1" x14ac:dyDescent="0.3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2.75" customHeight="1" x14ac:dyDescent="0.3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2.75" customHeight="1" x14ac:dyDescent="0.3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2.75" customHeight="1" x14ac:dyDescent="0.3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2.75" customHeight="1" x14ac:dyDescent="0.3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2.75" customHeight="1" x14ac:dyDescent="0.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2.75" customHeight="1" x14ac:dyDescent="0.3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2.75" customHeight="1" x14ac:dyDescent="0.3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2.75" customHeight="1" x14ac:dyDescent="0.3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2.75" customHeight="1" x14ac:dyDescent="0.3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2.75" customHeight="1" x14ac:dyDescent="0.3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2.75" customHeight="1" x14ac:dyDescent="0.3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2.75" customHeight="1" x14ac:dyDescent="0.3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2.75" customHeight="1" x14ac:dyDescent="0.3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2.75" customHeight="1" x14ac:dyDescent="0.3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2.75" customHeight="1" x14ac:dyDescent="0.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2.75" customHeight="1" x14ac:dyDescent="0.3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2.75" customHeight="1" x14ac:dyDescent="0.3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2.75" customHeight="1" x14ac:dyDescent="0.3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2.75" customHeight="1" x14ac:dyDescent="0.3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2.75" customHeight="1" x14ac:dyDescent="0.3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2.75" customHeight="1" x14ac:dyDescent="0.3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2.75" customHeight="1" x14ac:dyDescent="0.3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2.75" customHeight="1" x14ac:dyDescent="0.3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2.75" customHeight="1" x14ac:dyDescent="0.3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2.75" customHeight="1" x14ac:dyDescent="0.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2.75" customHeight="1" x14ac:dyDescent="0.3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2.75" customHeight="1" x14ac:dyDescent="0.3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2.75" customHeight="1" x14ac:dyDescent="0.3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2.75" customHeight="1" x14ac:dyDescent="0.3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2.75" customHeight="1" x14ac:dyDescent="0.3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2.75" customHeight="1" x14ac:dyDescent="0.3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2.75" customHeight="1" x14ac:dyDescent="0.3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2.75" customHeight="1" x14ac:dyDescent="0.3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2.75" customHeight="1" x14ac:dyDescent="0.3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2.75" customHeight="1" x14ac:dyDescent="0.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2.75" customHeight="1" x14ac:dyDescent="0.3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2.75" customHeight="1" x14ac:dyDescent="0.3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2.75" customHeight="1" x14ac:dyDescent="0.3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2.75" customHeight="1" x14ac:dyDescent="0.3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2.75" customHeight="1" x14ac:dyDescent="0.3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2.75" customHeight="1" x14ac:dyDescent="0.3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2.75" customHeight="1" x14ac:dyDescent="0.3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2.75" customHeight="1" x14ac:dyDescent="0.3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2.75" customHeight="1" x14ac:dyDescent="0.3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2.75" customHeight="1" x14ac:dyDescent="0.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2.75" customHeight="1" x14ac:dyDescent="0.3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2.75" customHeight="1" x14ac:dyDescent="0.3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2.75" customHeight="1" x14ac:dyDescent="0.3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2.75" customHeight="1" x14ac:dyDescent="0.3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2.75" customHeight="1" x14ac:dyDescent="0.3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2.75" customHeight="1" x14ac:dyDescent="0.3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2.75" customHeight="1" x14ac:dyDescent="0.3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2.75" customHeight="1" x14ac:dyDescent="0.3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2.75" customHeight="1" x14ac:dyDescent="0.3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2.75" customHeight="1" x14ac:dyDescent="0.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2.75" customHeight="1" x14ac:dyDescent="0.3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2.75" customHeight="1" x14ac:dyDescent="0.3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2.75" customHeight="1" x14ac:dyDescent="0.3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2.75" customHeight="1" x14ac:dyDescent="0.3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2.75" customHeight="1" x14ac:dyDescent="0.3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2.75" customHeight="1" x14ac:dyDescent="0.3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2.75" customHeight="1" x14ac:dyDescent="0.3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2.75" customHeight="1" x14ac:dyDescent="0.3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2.75" customHeight="1" x14ac:dyDescent="0.3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2.75" customHeight="1" x14ac:dyDescent="0.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2.75" customHeight="1" x14ac:dyDescent="0.3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2.75" customHeight="1" x14ac:dyDescent="0.3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2.75" customHeight="1" x14ac:dyDescent="0.3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2.75" customHeight="1" x14ac:dyDescent="0.3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2.75" customHeight="1" x14ac:dyDescent="0.3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2.75" customHeight="1" x14ac:dyDescent="0.3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2.75" customHeight="1" x14ac:dyDescent="0.3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2.75" customHeight="1" x14ac:dyDescent="0.3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2.75" customHeight="1" x14ac:dyDescent="0.3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2.75" customHeight="1" x14ac:dyDescent="0.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2.75" customHeight="1" x14ac:dyDescent="0.3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2.75" customHeight="1" x14ac:dyDescent="0.3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2.75" customHeight="1" x14ac:dyDescent="0.3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2.75" customHeight="1" x14ac:dyDescent="0.3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2.75" customHeight="1" x14ac:dyDescent="0.3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2.75" customHeight="1" x14ac:dyDescent="0.3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2.75" customHeight="1" x14ac:dyDescent="0.3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2.75" customHeight="1" x14ac:dyDescent="0.3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2.75" customHeight="1" x14ac:dyDescent="0.3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2.75" customHeight="1" x14ac:dyDescent="0.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2.75" customHeight="1" x14ac:dyDescent="0.3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2.75" customHeight="1" x14ac:dyDescent="0.3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2.75" customHeight="1" x14ac:dyDescent="0.3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2.75" customHeight="1" x14ac:dyDescent="0.3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2.75" customHeight="1" x14ac:dyDescent="0.3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2.75" customHeight="1" x14ac:dyDescent="0.3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2.75" customHeight="1" x14ac:dyDescent="0.3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2.75" customHeight="1" x14ac:dyDescent="0.3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2.75" customHeight="1" x14ac:dyDescent="0.3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2.75" customHeight="1" x14ac:dyDescent="0.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2.75" customHeight="1" x14ac:dyDescent="0.3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2.75" customHeight="1" x14ac:dyDescent="0.3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2.75" customHeight="1" x14ac:dyDescent="0.3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2.75" customHeight="1" x14ac:dyDescent="0.3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2.75" customHeight="1" x14ac:dyDescent="0.3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2.75" customHeight="1" x14ac:dyDescent="0.3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2.75" customHeight="1" x14ac:dyDescent="0.3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2.75" customHeight="1" x14ac:dyDescent="0.3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2.75" customHeight="1" x14ac:dyDescent="0.3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2.75" customHeight="1" x14ac:dyDescent="0.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2.75" customHeight="1" x14ac:dyDescent="0.3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2.75" customHeight="1" x14ac:dyDescent="0.3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2.75" customHeight="1" x14ac:dyDescent="0.3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2.75" customHeight="1" x14ac:dyDescent="0.3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2.75" customHeight="1" x14ac:dyDescent="0.3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2.75" customHeight="1" x14ac:dyDescent="0.3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2.75" customHeight="1" x14ac:dyDescent="0.3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2.75" customHeight="1" x14ac:dyDescent="0.3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2.75" customHeight="1" x14ac:dyDescent="0.3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2.75" customHeight="1" x14ac:dyDescent="0.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2.75" customHeight="1" x14ac:dyDescent="0.3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2.75" customHeight="1" x14ac:dyDescent="0.3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2.75" customHeight="1" x14ac:dyDescent="0.3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2.75" customHeight="1" x14ac:dyDescent="0.3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2.75" customHeight="1" x14ac:dyDescent="0.3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2.75" customHeight="1" x14ac:dyDescent="0.3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2.75" customHeight="1" x14ac:dyDescent="0.3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2.75" customHeight="1" x14ac:dyDescent="0.3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2.75" customHeight="1" x14ac:dyDescent="0.3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2.75" customHeight="1" x14ac:dyDescent="0.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2.75" customHeight="1" x14ac:dyDescent="0.3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2.75" customHeight="1" x14ac:dyDescent="0.3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2.75" customHeight="1" x14ac:dyDescent="0.3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2.75" customHeight="1" x14ac:dyDescent="0.3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2.75" customHeight="1" x14ac:dyDescent="0.3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2.75" customHeight="1" x14ac:dyDescent="0.3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2.75" customHeight="1" x14ac:dyDescent="0.3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2.75" customHeight="1" x14ac:dyDescent="0.3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2.75" customHeight="1" x14ac:dyDescent="0.3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2.75" customHeight="1" x14ac:dyDescent="0.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2.75" customHeight="1" x14ac:dyDescent="0.3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2.75" customHeight="1" x14ac:dyDescent="0.3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2.75" customHeight="1" x14ac:dyDescent="0.3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2.75" customHeight="1" x14ac:dyDescent="0.3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2.75" customHeight="1" x14ac:dyDescent="0.3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2.75" customHeight="1" x14ac:dyDescent="0.3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2.75" customHeight="1" x14ac:dyDescent="0.3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2.75" customHeight="1" x14ac:dyDescent="0.3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2.75" customHeight="1" x14ac:dyDescent="0.3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2.75" customHeight="1" x14ac:dyDescent="0.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2.75" customHeight="1" x14ac:dyDescent="0.3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2.75" customHeight="1" x14ac:dyDescent="0.3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2.75" customHeight="1" x14ac:dyDescent="0.3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2.75" customHeight="1" x14ac:dyDescent="0.3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2.75" customHeight="1" x14ac:dyDescent="0.3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2.75" customHeight="1" x14ac:dyDescent="0.3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2.75" customHeight="1" x14ac:dyDescent="0.3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2.75" customHeight="1" x14ac:dyDescent="0.3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2.75" customHeight="1" x14ac:dyDescent="0.3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2.75" customHeight="1" x14ac:dyDescent="0.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2.75" customHeight="1" x14ac:dyDescent="0.3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2.75" customHeight="1" x14ac:dyDescent="0.3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2.75" customHeight="1" x14ac:dyDescent="0.3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2.75" customHeight="1" x14ac:dyDescent="0.3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2.75" customHeight="1" x14ac:dyDescent="0.3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2.75" customHeight="1" x14ac:dyDescent="0.3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2.75" customHeight="1" x14ac:dyDescent="0.3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2.75" customHeight="1" x14ac:dyDescent="0.3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2.75" customHeight="1" x14ac:dyDescent="0.3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2.75" customHeight="1" x14ac:dyDescent="0.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2.75" customHeight="1" x14ac:dyDescent="0.3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2.75" customHeight="1" x14ac:dyDescent="0.3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2.75" customHeight="1" x14ac:dyDescent="0.3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2.75" customHeight="1" x14ac:dyDescent="0.3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2.75" customHeight="1" x14ac:dyDescent="0.3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2.75" customHeight="1" x14ac:dyDescent="0.3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2.75" customHeight="1" x14ac:dyDescent="0.3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2.75" customHeight="1" x14ac:dyDescent="0.3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2.75" customHeight="1" x14ac:dyDescent="0.3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2.75" customHeight="1" x14ac:dyDescent="0.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2.75" customHeight="1" x14ac:dyDescent="0.3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2.75" customHeight="1" x14ac:dyDescent="0.3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2.75" customHeight="1" x14ac:dyDescent="0.3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2.75" customHeight="1" x14ac:dyDescent="0.3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2.75" customHeight="1" x14ac:dyDescent="0.3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2.75" customHeight="1" x14ac:dyDescent="0.3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2.75" customHeight="1" x14ac:dyDescent="0.3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2.75" customHeight="1" x14ac:dyDescent="0.3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2.75" customHeight="1" x14ac:dyDescent="0.3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2.75" customHeight="1" x14ac:dyDescent="0.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2.75" customHeight="1" x14ac:dyDescent="0.3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2.75" customHeight="1" x14ac:dyDescent="0.3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2.75" customHeight="1" x14ac:dyDescent="0.3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2.75" customHeight="1" x14ac:dyDescent="0.3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2.75" customHeight="1" x14ac:dyDescent="0.3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2.75" customHeight="1" x14ac:dyDescent="0.3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2.75" customHeight="1" x14ac:dyDescent="0.3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2.75" customHeight="1" x14ac:dyDescent="0.3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2.75" customHeight="1" x14ac:dyDescent="0.3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2.75" customHeight="1" x14ac:dyDescent="0.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2.75" customHeight="1" x14ac:dyDescent="0.3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2.75" customHeight="1" x14ac:dyDescent="0.3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2.75" customHeight="1" x14ac:dyDescent="0.3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2.75" customHeight="1" x14ac:dyDescent="0.3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2.75" customHeight="1" x14ac:dyDescent="0.3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2.75" customHeight="1" x14ac:dyDescent="0.3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2.75" customHeight="1" x14ac:dyDescent="0.3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2.75" customHeight="1" x14ac:dyDescent="0.3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2.75" customHeight="1" x14ac:dyDescent="0.3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2.75" customHeight="1" x14ac:dyDescent="0.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2.75" customHeight="1" x14ac:dyDescent="0.3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2.75" customHeight="1" x14ac:dyDescent="0.3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2.75" customHeight="1" x14ac:dyDescent="0.3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2.75" customHeight="1" x14ac:dyDescent="0.3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2.75" customHeight="1" x14ac:dyDescent="0.3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2.75" customHeight="1" x14ac:dyDescent="0.3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2.75" customHeight="1" x14ac:dyDescent="0.3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2.75" customHeight="1" x14ac:dyDescent="0.3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2.75" customHeight="1" x14ac:dyDescent="0.3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2.75" customHeight="1" x14ac:dyDescent="0.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2.75" customHeight="1" x14ac:dyDescent="0.3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2.75" customHeight="1" x14ac:dyDescent="0.3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2.75" customHeight="1" x14ac:dyDescent="0.3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2.75" customHeight="1" x14ac:dyDescent="0.3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2.75" customHeight="1" x14ac:dyDescent="0.3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2.75" customHeight="1" x14ac:dyDescent="0.3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2.75" customHeight="1" x14ac:dyDescent="0.3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2.75" customHeight="1" x14ac:dyDescent="0.3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2.75" customHeight="1" x14ac:dyDescent="0.3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2.75" customHeight="1" x14ac:dyDescent="0.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2.75" customHeight="1" x14ac:dyDescent="0.3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2.75" customHeight="1" x14ac:dyDescent="0.3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2.75" customHeight="1" x14ac:dyDescent="0.3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2.75" customHeight="1" x14ac:dyDescent="0.3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2.75" customHeight="1" x14ac:dyDescent="0.3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2.75" customHeight="1" x14ac:dyDescent="0.3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2.75" customHeight="1" x14ac:dyDescent="0.3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2.75" customHeight="1" x14ac:dyDescent="0.3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2.75" customHeight="1" x14ac:dyDescent="0.3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2.75" customHeight="1" x14ac:dyDescent="0.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2.75" customHeight="1" x14ac:dyDescent="0.3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2.75" customHeight="1" x14ac:dyDescent="0.3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2.75" customHeight="1" x14ac:dyDescent="0.3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2.75" customHeight="1" x14ac:dyDescent="0.3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2.75" customHeight="1" x14ac:dyDescent="0.3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2.75" customHeight="1" x14ac:dyDescent="0.3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2.75" customHeight="1" x14ac:dyDescent="0.3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2.75" customHeight="1" x14ac:dyDescent="0.3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2.75" customHeight="1" x14ac:dyDescent="0.3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2.75" customHeight="1" x14ac:dyDescent="0.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2.75" customHeight="1" x14ac:dyDescent="0.3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2.75" customHeight="1" x14ac:dyDescent="0.3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2.75" customHeight="1" x14ac:dyDescent="0.3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2.75" customHeight="1" x14ac:dyDescent="0.3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2.75" customHeight="1" x14ac:dyDescent="0.3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2.75" customHeight="1" x14ac:dyDescent="0.3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2.75" customHeight="1" x14ac:dyDescent="0.3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2.75" customHeight="1" x14ac:dyDescent="0.3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2.75" customHeight="1" x14ac:dyDescent="0.3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2.75" customHeight="1" x14ac:dyDescent="0.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2.75" customHeight="1" x14ac:dyDescent="0.3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2.75" customHeight="1" x14ac:dyDescent="0.3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2.75" customHeight="1" x14ac:dyDescent="0.3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2.75" customHeight="1" x14ac:dyDescent="0.3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2.75" customHeight="1" x14ac:dyDescent="0.3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2.75" customHeight="1" x14ac:dyDescent="0.3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2.75" customHeight="1" x14ac:dyDescent="0.3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2.75" customHeight="1" x14ac:dyDescent="0.3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2.75" customHeight="1" x14ac:dyDescent="0.3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2.75" customHeight="1" x14ac:dyDescent="0.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2.75" customHeight="1" x14ac:dyDescent="0.3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2.75" customHeight="1" x14ac:dyDescent="0.3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2.75" customHeight="1" x14ac:dyDescent="0.3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2.75" customHeight="1" x14ac:dyDescent="0.3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2.75" customHeight="1" x14ac:dyDescent="0.3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2.75" customHeight="1" x14ac:dyDescent="0.3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2.75" customHeight="1" x14ac:dyDescent="0.3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2.75" customHeight="1" x14ac:dyDescent="0.3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2.75" customHeight="1" x14ac:dyDescent="0.3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2.75" customHeight="1" x14ac:dyDescent="0.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2.75" customHeight="1" x14ac:dyDescent="0.3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2.75" customHeight="1" x14ac:dyDescent="0.3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2.75" customHeight="1" x14ac:dyDescent="0.3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2.75" customHeight="1" x14ac:dyDescent="0.3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2.75" customHeight="1" x14ac:dyDescent="0.3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2.75" customHeight="1" x14ac:dyDescent="0.3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2.75" customHeight="1" x14ac:dyDescent="0.3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2.75" customHeight="1" x14ac:dyDescent="0.3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2.75" customHeight="1" x14ac:dyDescent="0.3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2.75" customHeight="1" x14ac:dyDescent="0.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2.75" customHeight="1" x14ac:dyDescent="0.3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2.75" customHeight="1" x14ac:dyDescent="0.3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2.75" customHeight="1" x14ac:dyDescent="0.3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2.75" customHeight="1" x14ac:dyDescent="0.3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2.75" customHeight="1" x14ac:dyDescent="0.3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2.75" customHeight="1" x14ac:dyDescent="0.3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2.75" customHeight="1" x14ac:dyDescent="0.3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2.75" customHeight="1" x14ac:dyDescent="0.3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2.75" customHeight="1" x14ac:dyDescent="0.3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2.75" customHeight="1" x14ac:dyDescent="0.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2.75" customHeight="1" x14ac:dyDescent="0.3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2.75" customHeight="1" x14ac:dyDescent="0.3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2.75" customHeight="1" x14ac:dyDescent="0.3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2.75" customHeight="1" x14ac:dyDescent="0.3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2.75" customHeight="1" x14ac:dyDescent="0.3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2.75" customHeight="1" x14ac:dyDescent="0.3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2.75" customHeight="1" x14ac:dyDescent="0.3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2.75" customHeight="1" x14ac:dyDescent="0.3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2.75" customHeight="1" x14ac:dyDescent="0.3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2.75" customHeight="1" x14ac:dyDescent="0.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2.75" customHeight="1" x14ac:dyDescent="0.3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2.75" customHeight="1" x14ac:dyDescent="0.3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2.75" customHeight="1" x14ac:dyDescent="0.3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2.75" customHeight="1" x14ac:dyDescent="0.3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2.75" customHeight="1" x14ac:dyDescent="0.3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2.75" customHeight="1" x14ac:dyDescent="0.3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2.75" customHeight="1" x14ac:dyDescent="0.3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2.75" customHeight="1" x14ac:dyDescent="0.3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2.75" customHeight="1" x14ac:dyDescent="0.3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2.75" customHeight="1" x14ac:dyDescent="0.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2.75" customHeight="1" x14ac:dyDescent="0.3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2.75" customHeight="1" x14ac:dyDescent="0.3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2.75" customHeight="1" x14ac:dyDescent="0.3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2.75" customHeight="1" x14ac:dyDescent="0.3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2.75" customHeight="1" x14ac:dyDescent="0.3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2.75" customHeight="1" x14ac:dyDescent="0.3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2.75" customHeight="1" x14ac:dyDescent="0.3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2.75" customHeight="1" x14ac:dyDescent="0.3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2.75" customHeight="1" x14ac:dyDescent="0.3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2.75" customHeight="1" x14ac:dyDescent="0.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2.75" customHeight="1" x14ac:dyDescent="0.3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2.75" customHeight="1" x14ac:dyDescent="0.3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2.75" customHeight="1" x14ac:dyDescent="0.3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2.75" customHeight="1" x14ac:dyDescent="0.3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2.75" customHeight="1" x14ac:dyDescent="0.3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2.75" customHeight="1" x14ac:dyDescent="0.3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2.75" customHeight="1" x14ac:dyDescent="0.3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2.75" customHeight="1" x14ac:dyDescent="0.3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2.75" customHeight="1" x14ac:dyDescent="0.3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2.75" customHeight="1" x14ac:dyDescent="0.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2.75" customHeight="1" x14ac:dyDescent="0.3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2.75" customHeight="1" x14ac:dyDescent="0.3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2.75" customHeight="1" x14ac:dyDescent="0.3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2.75" customHeight="1" x14ac:dyDescent="0.3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2.75" customHeight="1" x14ac:dyDescent="0.3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2.75" customHeight="1" x14ac:dyDescent="0.3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2.75" customHeight="1" x14ac:dyDescent="0.3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2.75" customHeight="1" x14ac:dyDescent="0.3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2.75" customHeight="1" x14ac:dyDescent="0.3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2.75" customHeight="1" x14ac:dyDescent="0.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2.75" customHeight="1" x14ac:dyDescent="0.3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2.75" customHeight="1" x14ac:dyDescent="0.3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2.75" customHeight="1" x14ac:dyDescent="0.3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2.75" customHeight="1" x14ac:dyDescent="0.3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2.75" customHeight="1" x14ac:dyDescent="0.3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2.75" customHeight="1" x14ac:dyDescent="0.3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2.75" customHeight="1" x14ac:dyDescent="0.3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2.75" customHeight="1" x14ac:dyDescent="0.3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2.75" customHeight="1" x14ac:dyDescent="0.3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2.75" customHeight="1" x14ac:dyDescent="0.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2.75" customHeight="1" x14ac:dyDescent="0.3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2.75" customHeight="1" x14ac:dyDescent="0.3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2.75" customHeight="1" x14ac:dyDescent="0.3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2.75" customHeight="1" x14ac:dyDescent="0.3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2.75" customHeight="1" x14ac:dyDescent="0.3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2.75" customHeight="1" x14ac:dyDescent="0.3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2.75" customHeight="1" x14ac:dyDescent="0.3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2.75" customHeight="1" x14ac:dyDescent="0.3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2.75" customHeight="1" x14ac:dyDescent="0.3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2.75" customHeight="1" x14ac:dyDescent="0.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2.75" customHeight="1" x14ac:dyDescent="0.3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2.75" customHeight="1" x14ac:dyDescent="0.3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2.75" customHeight="1" x14ac:dyDescent="0.3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2.75" customHeight="1" x14ac:dyDescent="0.3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2.75" customHeight="1" x14ac:dyDescent="0.3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2.75" customHeight="1" x14ac:dyDescent="0.3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2.75" customHeight="1" x14ac:dyDescent="0.3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2.75" customHeight="1" x14ac:dyDescent="0.3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2.75" customHeight="1" x14ac:dyDescent="0.3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2.75" customHeight="1" x14ac:dyDescent="0.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2.75" customHeight="1" x14ac:dyDescent="0.3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2.75" customHeight="1" x14ac:dyDescent="0.3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2.75" customHeight="1" x14ac:dyDescent="0.3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2.75" customHeight="1" x14ac:dyDescent="0.3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2.75" customHeight="1" x14ac:dyDescent="0.3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2.75" customHeight="1" x14ac:dyDescent="0.3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2.75" customHeight="1" x14ac:dyDescent="0.3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2.75" customHeight="1" x14ac:dyDescent="0.3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2.75" customHeight="1" x14ac:dyDescent="0.3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2.75" customHeight="1" x14ac:dyDescent="0.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2.75" customHeight="1" x14ac:dyDescent="0.3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2.75" customHeight="1" x14ac:dyDescent="0.3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2.75" customHeight="1" x14ac:dyDescent="0.3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2.75" customHeight="1" x14ac:dyDescent="0.3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2.75" customHeight="1" x14ac:dyDescent="0.3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2.75" customHeight="1" x14ac:dyDescent="0.3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2.75" customHeight="1" x14ac:dyDescent="0.3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2.75" customHeight="1" x14ac:dyDescent="0.3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2.75" customHeight="1" x14ac:dyDescent="0.3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2.75" customHeight="1" x14ac:dyDescent="0.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2.75" customHeight="1" x14ac:dyDescent="0.3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2.75" customHeight="1" x14ac:dyDescent="0.3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2.75" customHeight="1" x14ac:dyDescent="0.3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2.75" customHeight="1" x14ac:dyDescent="0.3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2.75" customHeight="1" x14ac:dyDescent="0.3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2.75" customHeight="1" x14ac:dyDescent="0.3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2.75" customHeight="1" x14ac:dyDescent="0.3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2.75" customHeight="1" x14ac:dyDescent="0.3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2.75" customHeight="1" x14ac:dyDescent="0.3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2.75" customHeight="1" x14ac:dyDescent="0.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2.75" customHeight="1" x14ac:dyDescent="0.3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2.75" customHeight="1" x14ac:dyDescent="0.3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2.75" customHeight="1" x14ac:dyDescent="0.3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2.75" customHeight="1" x14ac:dyDescent="0.3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2.75" customHeight="1" x14ac:dyDescent="0.3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2.75" customHeight="1" x14ac:dyDescent="0.3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2.75" customHeight="1" x14ac:dyDescent="0.3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2.75" customHeight="1" x14ac:dyDescent="0.3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2.75" customHeight="1" x14ac:dyDescent="0.3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2.75" customHeight="1" x14ac:dyDescent="0.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2.75" customHeight="1" x14ac:dyDescent="0.3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2.75" customHeight="1" x14ac:dyDescent="0.3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2.75" customHeight="1" x14ac:dyDescent="0.3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2.75" customHeight="1" x14ac:dyDescent="0.3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2.75" customHeight="1" x14ac:dyDescent="0.3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2.75" customHeight="1" x14ac:dyDescent="0.3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2.75" customHeight="1" x14ac:dyDescent="0.3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2.75" customHeight="1" x14ac:dyDescent="0.3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2.75" customHeight="1" x14ac:dyDescent="0.3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2.75" customHeight="1" x14ac:dyDescent="0.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2.75" customHeight="1" x14ac:dyDescent="0.3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2.75" customHeight="1" x14ac:dyDescent="0.3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2.75" customHeight="1" x14ac:dyDescent="0.3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2.75" customHeight="1" x14ac:dyDescent="0.3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2.75" customHeight="1" x14ac:dyDescent="0.3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2.75" customHeight="1" x14ac:dyDescent="0.3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2.75" customHeight="1" x14ac:dyDescent="0.3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2.75" customHeight="1" x14ac:dyDescent="0.3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2.75" customHeight="1" x14ac:dyDescent="0.3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2.75" customHeight="1" x14ac:dyDescent="0.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2.75" customHeight="1" x14ac:dyDescent="0.3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2.75" customHeight="1" x14ac:dyDescent="0.3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2.75" customHeight="1" x14ac:dyDescent="0.3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2.75" customHeight="1" x14ac:dyDescent="0.3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2.75" customHeight="1" x14ac:dyDescent="0.3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2.75" customHeight="1" x14ac:dyDescent="0.3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2.75" customHeight="1" x14ac:dyDescent="0.3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2.75" customHeight="1" x14ac:dyDescent="0.3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2.75" customHeight="1" x14ac:dyDescent="0.3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2.75" customHeight="1" x14ac:dyDescent="0.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2.75" customHeight="1" x14ac:dyDescent="0.3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2.75" customHeight="1" x14ac:dyDescent="0.3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2.75" customHeight="1" x14ac:dyDescent="0.3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2.75" customHeight="1" x14ac:dyDescent="0.3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2.75" customHeight="1" x14ac:dyDescent="0.3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2.75" customHeight="1" x14ac:dyDescent="0.3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2.75" customHeight="1" x14ac:dyDescent="0.3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2.75" customHeight="1" x14ac:dyDescent="0.3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2.75" customHeight="1" x14ac:dyDescent="0.3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2.75" customHeight="1" x14ac:dyDescent="0.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2.75" customHeight="1" x14ac:dyDescent="0.3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2.75" customHeight="1" x14ac:dyDescent="0.3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2.75" customHeight="1" x14ac:dyDescent="0.3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2.75" customHeight="1" x14ac:dyDescent="0.3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2.75" customHeight="1" x14ac:dyDescent="0.3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2.75" customHeight="1" x14ac:dyDescent="0.3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2.75" customHeight="1" x14ac:dyDescent="0.3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2.75" customHeight="1" x14ac:dyDescent="0.3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2.75" customHeight="1" x14ac:dyDescent="0.3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2.75" customHeight="1" x14ac:dyDescent="0.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2.75" customHeight="1" x14ac:dyDescent="0.3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2.75" customHeight="1" x14ac:dyDescent="0.3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2.75" customHeight="1" x14ac:dyDescent="0.3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2.75" customHeight="1" x14ac:dyDescent="0.3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2.75" customHeight="1" x14ac:dyDescent="0.3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2.75" customHeight="1" x14ac:dyDescent="0.3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2.75" customHeight="1" x14ac:dyDescent="0.3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2.75" customHeight="1" x14ac:dyDescent="0.3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2.75" customHeight="1" x14ac:dyDescent="0.3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2.75" customHeight="1" x14ac:dyDescent="0.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2.75" customHeight="1" x14ac:dyDescent="0.3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2.75" customHeight="1" x14ac:dyDescent="0.3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2.75" customHeight="1" x14ac:dyDescent="0.3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2.75" customHeight="1" x14ac:dyDescent="0.3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2.75" customHeight="1" x14ac:dyDescent="0.3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2.75" customHeight="1" x14ac:dyDescent="0.3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2.75" customHeight="1" x14ac:dyDescent="0.3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2.75" customHeight="1" x14ac:dyDescent="0.3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2.75" customHeight="1" x14ac:dyDescent="0.3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2.75" customHeight="1" x14ac:dyDescent="0.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2.75" customHeight="1" x14ac:dyDescent="0.3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2.75" customHeight="1" x14ac:dyDescent="0.3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2.75" customHeight="1" x14ac:dyDescent="0.3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2.75" customHeight="1" x14ac:dyDescent="0.3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2.75" customHeight="1" x14ac:dyDescent="0.3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2.75" customHeight="1" x14ac:dyDescent="0.3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2.75" customHeight="1" x14ac:dyDescent="0.3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2.75" customHeight="1" x14ac:dyDescent="0.3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2.75" customHeight="1" x14ac:dyDescent="0.3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2.75" customHeight="1" x14ac:dyDescent="0.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2.75" customHeight="1" x14ac:dyDescent="0.3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2.75" customHeight="1" x14ac:dyDescent="0.3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2.75" customHeight="1" x14ac:dyDescent="0.3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2.75" customHeight="1" x14ac:dyDescent="0.3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2.75" customHeight="1" x14ac:dyDescent="0.3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2.75" customHeight="1" x14ac:dyDescent="0.3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2.75" customHeight="1" x14ac:dyDescent="0.3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2.75" customHeight="1" x14ac:dyDescent="0.3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2.75" customHeight="1" x14ac:dyDescent="0.3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2.75" customHeight="1" x14ac:dyDescent="0.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2.75" customHeight="1" x14ac:dyDescent="0.3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2.75" customHeight="1" x14ac:dyDescent="0.3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2.75" customHeight="1" x14ac:dyDescent="0.3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2.75" customHeight="1" x14ac:dyDescent="0.3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2.75" customHeight="1" x14ac:dyDescent="0.3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2.75" customHeight="1" x14ac:dyDescent="0.3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2.75" customHeight="1" x14ac:dyDescent="0.3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2.75" customHeight="1" x14ac:dyDescent="0.3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2.75" customHeight="1" x14ac:dyDescent="0.3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2.75" customHeight="1" x14ac:dyDescent="0.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2.75" customHeight="1" x14ac:dyDescent="0.3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2.75" customHeight="1" x14ac:dyDescent="0.3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2.75" customHeight="1" x14ac:dyDescent="0.3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2.75" customHeight="1" x14ac:dyDescent="0.3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2.75" customHeight="1" x14ac:dyDescent="0.3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2.75" customHeight="1" x14ac:dyDescent="0.3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2.75" customHeight="1" x14ac:dyDescent="0.3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2.75" customHeight="1" x14ac:dyDescent="0.3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2.75" customHeight="1" x14ac:dyDescent="0.3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2.75" customHeight="1" x14ac:dyDescent="0.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2.75" customHeight="1" x14ac:dyDescent="0.3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2.75" customHeight="1" x14ac:dyDescent="0.3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2.75" customHeight="1" x14ac:dyDescent="0.3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2.75" customHeight="1" x14ac:dyDescent="0.3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2.75" customHeight="1" x14ac:dyDescent="0.3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2.75" customHeight="1" x14ac:dyDescent="0.3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2.75" customHeight="1" x14ac:dyDescent="0.3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2.75" customHeight="1" x14ac:dyDescent="0.3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2.75" customHeight="1" x14ac:dyDescent="0.3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2.75" customHeight="1" x14ac:dyDescent="0.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2.75" customHeight="1" x14ac:dyDescent="0.3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2.75" customHeight="1" x14ac:dyDescent="0.3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2.75" customHeight="1" x14ac:dyDescent="0.3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2.75" customHeight="1" x14ac:dyDescent="0.3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2.75" customHeight="1" x14ac:dyDescent="0.3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2.75" customHeight="1" x14ac:dyDescent="0.3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2.75" customHeight="1" x14ac:dyDescent="0.3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2.75" customHeight="1" x14ac:dyDescent="0.3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2.75" customHeight="1" x14ac:dyDescent="0.3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2.75" customHeight="1" x14ac:dyDescent="0.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2.75" customHeight="1" x14ac:dyDescent="0.3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2.75" customHeight="1" x14ac:dyDescent="0.3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2.75" customHeight="1" x14ac:dyDescent="0.3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2.75" customHeight="1" x14ac:dyDescent="0.3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2.75" customHeight="1" x14ac:dyDescent="0.3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2.75" customHeight="1" x14ac:dyDescent="0.3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2.75" customHeight="1" x14ac:dyDescent="0.3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2.75" customHeight="1" x14ac:dyDescent="0.3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2.75" customHeight="1" x14ac:dyDescent="0.3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2.75" customHeight="1" x14ac:dyDescent="0.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2.75" customHeight="1" x14ac:dyDescent="0.3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2.75" customHeight="1" x14ac:dyDescent="0.3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2.75" customHeight="1" x14ac:dyDescent="0.3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2.75" customHeight="1" x14ac:dyDescent="0.3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2.75" customHeight="1" x14ac:dyDescent="0.3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2.75" customHeight="1" x14ac:dyDescent="0.3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2.75" customHeight="1" x14ac:dyDescent="0.3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2.75" customHeight="1" x14ac:dyDescent="0.3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2.75" customHeight="1" x14ac:dyDescent="0.3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2.75" customHeight="1" x14ac:dyDescent="0.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2.75" customHeight="1" x14ac:dyDescent="0.3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2.75" customHeight="1" x14ac:dyDescent="0.3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2.75" customHeight="1" x14ac:dyDescent="0.3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2.75" customHeight="1" x14ac:dyDescent="0.3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2.75" customHeight="1" x14ac:dyDescent="0.3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2.75" customHeight="1" x14ac:dyDescent="0.3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2.75" customHeight="1" x14ac:dyDescent="0.3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2.75" customHeight="1" x14ac:dyDescent="0.3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2.75" customHeight="1" x14ac:dyDescent="0.3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2.75" customHeight="1" x14ac:dyDescent="0.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2.75" customHeight="1" x14ac:dyDescent="0.3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2.75" customHeight="1" x14ac:dyDescent="0.3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2.75" customHeight="1" x14ac:dyDescent="0.3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2.75" customHeight="1" x14ac:dyDescent="0.3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2.75" customHeight="1" x14ac:dyDescent="0.3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2.75" customHeight="1" x14ac:dyDescent="0.3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2.75" customHeight="1" x14ac:dyDescent="0.3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2.75" customHeight="1" x14ac:dyDescent="0.3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2.75" customHeight="1" x14ac:dyDescent="0.3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2.75" customHeight="1" x14ac:dyDescent="0.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2.75" customHeight="1" x14ac:dyDescent="0.3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2.75" customHeight="1" x14ac:dyDescent="0.3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2.75" customHeight="1" x14ac:dyDescent="0.3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2.75" customHeight="1" x14ac:dyDescent="0.3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2.75" customHeight="1" x14ac:dyDescent="0.3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2.75" customHeight="1" x14ac:dyDescent="0.3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2.75" customHeight="1" x14ac:dyDescent="0.3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2.75" customHeight="1" x14ac:dyDescent="0.3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2.75" customHeight="1" x14ac:dyDescent="0.3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2.75" customHeight="1" x14ac:dyDescent="0.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2.75" customHeight="1" x14ac:dyDescent="0.3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2.75" customHeight="1" x14ac:dyDescent="0.3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2.75" customHeight="1" x14ac:dyDescent="0.3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2.75" customHeight="1" x14ac:dyDescent="0.3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2.75" customHeight="1" x14ac:dyDescent="0.3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2.75" customHeight="1" x14ac:dyDescent="0.3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2.75" customHeight="1" x14ac:dyDescent="0.3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2.75" customHeight="1" x14ac:dyDescent="0.3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2.75" customHeight="1" x14ac:dyDescent="0.3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2.75" customHeight="1" x14ac:dyDescent="0.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2.75" customHeight="1" x14ac:dyDescent="0.3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2.75" customHeight="1" x14ac:dyDescent="0.3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2.75" customHeight="1" x14ac:dyDescent="0.3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2.75" customHeight="1" x14ac:dyDescent="0.3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2.75" customHeight="1" x14ac:dyDescent="0.3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2.75" customHeight="1" x14ac:dyDescent="0.3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2.75" customHeight="1" x14ac:dyDescent="0.3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8">
    <mergeCell ref="C5:D5"/>
    <mergeCell ref="E5:F5"/>
    <mergeCell ref="C6:H6"/>
    <mergeCell ref="B1:H1"/>
    <mergeCell ref="C3:D3"/>
    <mergeCell ref="E3:F3"/>
    <mergeCell ref="C4:D4"/>
    <mergeCell ref="E4:F4"/>
  </mergeCells>
  <pageMargins left="0.7" right="0.7" top="0.75" bottom="0.75" header="0" footer="0"/>
  <pageSetup orientation="landscape"/>
  <headerFooter>
    <oddFooter>&amp;L 02ae-BM/PM/HDCV/FSOFT v2/0&amp;CInternal use&amp;R&amp;P/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Cover</vt:lpstr>
      <vt:lpstr>Test case List</vt:lpstr>
      <vt:lpstr>Test Design</vt:lpstr>
      <vt:lpstr>Registration</vt:lpstr>
      <vt:lpstr>Promotion</vt:lpstr>
      <vt:lpstr>Sheet1</vt:lpstr>
      <vt:lpstr>Test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Thiet Vo Van</cp:lastModifiedBy>
  <dcterms:created xsi:type="dcterms:W3CDTF">2014-07-14T08:56:24Z</dcterms:created>
  <dcterms:modified xsi:type="dcterms:W3CDTF">2026-10-30T07:46:49Z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emplateUrl">
    <vt:lpwstr/>
  </property>
  <property fmtid="{D5CDD505-2E9C-101B-9397-08002B2CF9AE}" pid="3" name="Number Of Viewer">
    <vt:lpwstr>0</vt:lpwstr>
  </property>
  <property fmtid="{D5CDD505-2E9C-101B-9397-08002B2CF9AE}" pid="4" name="_SourceUrl">
    <vt:lpwstr/>
  </property>
  <property fmtid="{D5CDD505-2E9C-101B-9397-08002B2CF9AE}" pid="5" name="Priority">
    <vt:lpwstr/>
  </property>
  <property fmtid="{D5CDD505-2E9C-101B-9397-08002B2CF9AE}" pid="6" name="xd_ProgID">
    <vt:lpwstr/>
  </property>
  <property fmtid="{D5CDD505-2E9C-101B-9397-08002B2CF9AE}" pid="7" name="Order">
    <vt:lpwstr/>
  </property>
  <property fmtid="{D5CDD505-2E9C-101B-9397-08002B2CF9AE}" pid="8" name="MetaInfo">
    <vt:lpwstr/>
  </property>
  <property fmtid="{D5CDD505-2E9C-101B-9397-08002B2CF9AE}" pid="9" name="_SharedFileIndex">
    <vt:lpwstr/>
  </property>
  <property fmtid="{D5CDD505-2E9C-101B-9397-08002B2CF9AE}" pid="10" name="WorkbookGuid">
    <vt:lpwstr>0f7c5752-6060-4b6a-af9a-52fd67b9cfeb</vt:lpwstr>
  </property>
</Properties>
</file>