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AA809DB2F5ACE4C/Documents/"/>
    </mc:Choice>
  </mc:AlternateContent>
  <xr:revisionPtr revIDLastSave="156" documentId="8_{1A557293-40CD-424F-B6CA-565E1EDD29D5}" xr6:coauthVersionLast="47" xr6:coauthVersionMax="47" xr10:uidLastSave="{02B718D8-F30A-45B5-B4B5-B0CE302442CD}"/>
  <bookViews>
    <workbookView xWindow="-120" yWindow="-120" windowWidth="29040" windowHeight="15720" tabRatio="776" activeTab="2" xr2:uid="{00000000-000D-0000-FFFF-FFFF00000000}"/>
  </bookViews>
  <sheets>
    <sheet name="Cover" sheetId="1" r:id="rId1"/>
    <sheet name="Test case List" sheetId="2" r:id="rId2"/>
    <sheet name="Test Design" sheetId="9" r:id="rId3"/>
    <sheet name="Registration" sheetId="10" r:id="rId4"/>
    <sheet name="Test Report" sheetId="8" r:id="rId5"/>
  </sheets>
  <definedNames>
    <definedName name="_xlnm._FilterDatabase" localSheetId="2" hidden="1">'Test Design'!$A$1:$F$12</definedName>
    <definedName name="_Toc301930468" localSheetId="2">'Test Design'!#REF!</definedName>
    <definedName name="_Toc301930478" localSheetId="2">'Test Design'!#REF!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C11" i="8" l="1" a="1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17" i="10"/>
  <c r="A16" i="10"/>
  <c r="A15" i="10"/>
  <c r="A14" i="10"/>
  <c r="A13" i="10"/>
  <c r="A12" i="10"/>
  <c r="A11" i="10"/>
  <c r="A10" i="10"/>
  <c r="A9" i="10"/>
  <c r="E6" i="10"/>
  <c r="D6" i="10"/>
  <c r="B6" i="10"/>
  <c r="A6" i="10"/>
  <c r="C13" i="8"/>
  <c r="C12" i="8"/>
  <c r="C4" i="8"/>
  <c r="C5" i="8" s="1"/>
  <c r="C3" i="8"/>
  <c r="H13" i="8"/>
  <c r="G13" i="8"/>
  <c r="E13" i="8"/>
  <c r="D13" i="8"/>
  <c r="H12" i="8"/>
  <c r="G12" i="8"/>
  <c r="E12" i="8"/>
  <c r="D12" i="8"/>
  <c r="H11" i="8"/>
  <c r="G11" i="8"/>
  <c r="G15" i="8" s="1"/>
  <c r="E11" i="8"/>
  <c r="E15" i="8" s="1"/>
  <c r="D11" i="8"/>
  <c r="D15" i="8" s="1"/>
  <c r="D4" i="2"/>
  <c r="D3" i="2"/>
  <c r="C6" i="1"/>
  <c r="F6" i="10" l="1"/>
  <c r="C6" i="10" s="1"/>
  <c r="E18" i="8"/>
  <c r="I13" i="8"/>
  <c r="F13" i="8"/>
  <c r="F11" i="8"/>
  <c r="F15" i="8" s="1"/>
  <c r="I11" i="8"/>
  <c r="I15" i="8" s="1"/>
  <c r="E17" i="8" s="1"/>
  <c r="F12" i="8"/>
  <c r="I12" i="8"/>
  <c r="H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982E684-611C-4691-B407-9A72D329045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<sst xmlns="http://schemas.openxmlformats.org/spreadsheetml/2006/main" count="322" uniqueCount="194">
  <si>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</si>
  <si>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</si>
  <si>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</si>
  <si>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</si>
  <si>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</si>
  <si>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</si>
  <si>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</si>
  <si>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</si>
  <si>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</si>
  <si>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</si>
  <si>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</si>
  <si>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</si>
  <si>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</si>
  <si>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</si>
  <si>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</si>
  <si>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</si>
  <si>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</si>
  <si>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</si>
  <si>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</si>
  <si>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</si>
  <si>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</si>
  <si>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</si>
  <si>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</si>
  <si>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</si>
  <si>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</si>
  <si>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</si>
  <si>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</si>
  <si>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</si>
  <si>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</si>
  <si>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</si>
  <si>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</si>
  <si>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</si>
  <si>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</si>
  <si>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</si>
  <si>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GUI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</si>
  <si>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</si>
  <si>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</si>
  <si>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</si>
  <si>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</si>
  <si>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</si>
  <si>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</si>
  <si>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</si>
  <si>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</si>
  <si>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</si>
  <si>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</si>
  <si>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</si>
  <si>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</si>
  <si>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</si>
  <si>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</si>
  <si>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</si>
  <si>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</si>
  <si>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&lt;DefectID-1&gt;</t>
  </si>
  <si>
    <t>&lt;DefectID-2&gt;</t>
  </si>
  <si>
    <t>TEST REPORT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</si>
  <si>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</si>
  <si>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</si>
  <si>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</si>
  <si>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</si>
  <si>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</si>
  <si>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</si>
  <si>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</si>
  <si>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</si>
  <si>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</si>
  <si>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</si>
  <si>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group02-mahocommerce-testing</t>
  </si>
  <si>
    <t>Customer Registration</t>
  </si>
  <si>
    <t>1 Authentication</t>
  </si>
  <si>
    <t>Registration</t>
  </si>
  <si>
    <t>Vo Van Thiet</t>
  </si>
  <si>
    <t xml:space="preserve">Customer Registration </t>
  </si>
  <si>
    <t>1.1 Customer Registration</t>
  </si>
  <si>
    <t>[CustReg-1]</t>
  </si>
  <si>
    <t>Check registration with all valid mandatory fields</t>
  </si>
  <si>
    <t>None</t>
  </si>
  <si>
    <t>Check registration with all mandatory and optional fields</t>
  </si>
  <si>
    <t>Check password visibility toggle icon</t>
  </si>
  <si>
    <t>Password characters become visible in plain text. Clicking again masks them.</t>
  </si>
  <si>
    <t>Check email case insensitivity handling</t>
  </si>
  <si>
    <t>System displays an error indicating that the email address is already registered.</t>
  </si>
  <si>
    <t>Check registration with complex valid password</t>
  </si>
  <si>
    <t>Registration succeeds without password complexity error.</t>
  </si>
  <si>
    <t>Check successful redirect after registration</t>
  </si>
  <si>
    <t>User is automatically logged in or redirected to the welcome/login page seamlessly.</t>
  </si>
  <si>
    <t>Check welcome email notification trigger</t>
  </si>
  <si>
    <t>A welcome email containing account details or confirmation link is received.</t>
  </si>
  <si>
    <t>Check newsletter subscription default state and toggle</t>
  </si>
  <si>
    <t>Check tab index navigation across form fields</t>
  </si>
  <si>
    <t>Focus moves logically from field to field in correct order.</t>
  </si>
  <si>
    <t>Check form submission via 'Enter' key</t>
  </si>
  <si>
    <t>Form is submitted and account registration process is triggered.</t>
  </si>
  <si>
    <t>Check submit with completely empty form</t>
  </si>
  <si>
    <t>Validation error messages appear for all mandatory fields (First Name, Last Name, Email, Password, Terms).</t>
  </si>
  <si>
    <t>Check registration with blank Email field</t>
  </si>
  <si>
    <t>Inline validation error message: "Email is required" or similar. Account is not created.</t>
  </si>
  <si>
    <t>Check registration with invalid email format (missing '@')</t>
  </si>
  <si>
    <t>Validation error message: "Please enter a valid email address."</t>
  </si>
  <si>
    <t>Check registration with invalid email format (missing domain)</t>
  </si>
  <si>
    <t>Check registration with already registered email (Duplicate)</t>
  </si>
  <si>
    <t>Error message: "This email is already registered." Account creation fails.</t>
  </si>
  <si>
    <t>Check registration with blank Password field</t>
  </si>
  <si>
    <t>Validation error message: "Password is required." Account is not created.</t>
  </si>
  <si>
    <t>Check registration with password shorter than minimum length</t>
  </si>
  <si>
    <t>Validation error message: "Password must be at least 8 characters long."</t>
  </si>
  <si>
    <t>Check registration with password missing uppercase letter</t>
  </si>
  <si>
    <t>Validation error message indicating uppercase letter is required.</t>
  </si>
  <si>
    <t>Check registration with password missing lowercase letter</t>
  </si>
  <si>
    <t>Validation error message indicating lowercase letter is required.</t>
  </si>
  <si>
    <t>Check registration with password missing numeric digit</t>
  </si>
  <si>
    <t>Validation error message indicating numeric digit is required.</t>
  </si>
  <si>
    <t>Check registration with password missing special character</t>
  </si>
  <si>
    <t>Validation error message indicating special character is required.</t>
  </si>
  <si>
    <t>Check registration with blank Confirm Password field</t>
  </si>
  <si>
    <t>Validation error message: "Please confirm your password."</t>
  </si>
  <si>
    <t>Check registration when Password and Confirm Password do not match</t>
  </si>
  <si>
    <t>Validation error message: "Passwords do not match."</t>
  </si>
  <si>
    <t>Check registration with blank First Name field</t>
  </si>
  <si>
    <t>Validation error message: "First Name is required."</t>
  </si>
  <si>
    <t>Check registration with blank Last Name field</t>
  </si>
  <si>
    <t>Validation error message: "Last Name is required."</t>
  </si>
  <si>
    <t>Check registration without accepting Terms and Conditions</t>
  </si>
  <si>
    <t>Validation error message: "You must agree to the Terms and Conditions."</t>
  </si>
  <si>
    <t>Check registration with invalid phone number format</t>
  </si>
  <si>
    <t>Validation error message: "Please enter a valid phone number." or input restricted.</t>
  </si>
  <si>
    <t>Check SQL injection payload in Name field</t>
  </si>
  <si>
    <t>Payload is sanitized/escaped properly. Error shown or registration rejected safely without DB error exposure.</t>
  </si>
  <si>
    <t>Check XSS script payload in Last Name field</t>
  </si>
  <si>
    <t>Script does not execute; input is safely escaped or sanitized.</t>
  </si>
  <si>
    <t>Check behavior on rapid multiple clicks of [Register] button</t>
  </si>
  <si>
    <t>System prevents duplicate account creation; only one account is created and registered successfully.</t>
  </si>
  <si>
    <t>1. Account is created successfully.
2. Redirected to Account Dashboard or Login page.
3. Success message is displayed.</t>
  </si>
  <si>
    <t>Pre-condition:
- DB is clean or test email does not exist.
Step:
1. Navigate to Registration page.
2. Input valid First Name, Last Name, Email, Password, and Confirm Password.
3. Check Terms &amp; Conditions checkbox.
4. Click [Register] button.</t>
  </si>
  <si>
    <t>1. Account is created successfully with optional data saved in DB.
2. Success message is displayed.</t>
  </si>
  <si>
    <t>Pre-condition:
- On Registration page.
Step:
1. Input text into Password field.
2. Click the 'Show/Eye' icon next to Password.</t>
  </si>
  <si>
    <t>Pre-condition:
- On Registration page.
Step:
1. Input email and valid password containing uppercase, lowercase, numbers, and special characters (e.g., Test@12345).
2. Confirm password and click [Register].</t>
  </si>
  <si>
    <t>Pre-condition:
- Email server / mock server is active.
Step:
1. Complete registration with a valid active email.
2. Check user's inbox.</t>
  </si>
  <si>
    <t>Pre-condition:
- Test email does not exist.
Step:
1. Navigate to Registration page.
2. Input valid data for all mandatory fields.
3. Input optional fields (Phone number, Address, Newsletter opt-in).
4. Check Terms &amp; Conditions.
5. Click [Register].</t>
  </si>
  <si>
    <t>Pre-condition:
- Registered email User@Example.com exists.
Step:
1. Register a new account using user@example.com.
2. Click [Register].</t>
  </si>
  <si>
    <t>Pre-condition:
- Valid registration details prepared.
Step:
1. Complete registration successfully.</t>
  </si>
  <si>
    <t>Pre-condition:
- On Registration page.
Step:
1. Inspect newsletter checkbox default state.
2. Toggle it and complete registration.</t>
  </si>
  <si>
    <t>1. Default state is unchecked (or as per business rule).
2. Newsletter preference is correctly saved in DB.</t>
  </si>
  <si>
    <t>Pre-condition:
- On Registration page.
Step:
1. Focus on First Name field.
2. Press 'Tab' key consecutively through all input fields and buttons.</t>
  </si>
  <si>
    <t>Pre-condition:
- All mandatory fields filled correctly.
Step:
1. Focus on Confirm Password field.
2. Press 'Enter' key on keyboard.</t>
  </si>
  <si>
    <t>Pre-condition:
- On Registration page with blank fields.
Step:
1. Click [Register] button directly.</t>
  </si>
  <si>
    <t>Pre-condition:
- On Registration page.
Step:
1. Fill all mandatory fields except Email.
2. Click [Register].</t>
  </si>
  <si>
    <t>Pre-condition:
- On Registration page.
Step:
1. Input email as johndoegmail.com.
2. Fill other mandatory fields and click [Register].</t>
  </si>
  <si>
    <t>Pre-condition:
- On Registration page.
Step:
1. Input email as johndoe@.
3. Click [Register].</t>
  </si>
  <si>
    <t>Pre-condition:
- Email existing@mahocommerce.com exists in DB.
Step:
1. Input existing@mahocommerce.com in Email field.
2. Fill other fields and click [Register].</t>
  </si>
  <si>
    <t>Pre-condition:
- On Registration page.
Step:
1. Fill all mandatory fields except Password.
2. Click [Register].</t>
  </si>
  <si>
    <t>Pre-condition:
- Minimum password length rule is 8 characters.
Step:
1. Input password with 6 characters (e.g., Ab1!).
2. Complete other fields and click [Register].</t>
  </si>
  <si>
    <t>Pre-condition:
- Password policy requires uppercase.
Step:
1. Input password with lowercase, numbers, special chars only (e.g., password123!).
2. Click [Register].</t>
  </si>
  <si>
    <t>Pre-condition:
- Password policy requires lowercase.
Step:
1. Input password with uppercase, numbers, special chars only (e.g., PASSWORD123!).
2. Click [Register].</t>
  </si>
  <si>
    <t>Pre-condition:
- Password policy requires number.
Step:
1. Input password without numbers (e.g., Password!).
2. Click [Register].</t>
  </si>
  <si>
    <t>Pre-condition:
- Password policy requires special character.
Step:
1. Input password without special characters (e.g., Password123).
2. Click [Register].</t>
  </si>
  <si>
    <t>Pre-condition:
- On Registration page.
Step:
1. Fill Password field.
2. Leave Confirm Password blank.
3. Click [Register].</t>
  </si>
  <si>
    <t>Pre-condition:
- On Registration page.
Step:
1. Input Password as Password@123.
2. Input Confirm Password as Password@321.
3. Click [Register].</t>
  </si>
  <si>
    <t>Pre-condition:
- On Registration page.
Step:
1. Leave First Name blank, fill all other mandatory fields.
2. Click [Register].</t>
  </si>
  <si>
    <t>Pre-condition:
- On Registration page.
Step:
1. Leave Last Name blank, fill all other mandatory fields.
2. Click [Register].</t>
  </si>
  <si>
    <t>Pre-condition:
- On Registration page.
Step:
1. Fill all valid details.
2. Leave Terms &amp; Conditions checkbox unchecked.
3. Click [Register].</t>
  </si>
  <si>
    <t>Pre-condition:
- On Registration page.
Step:
1. Input alphabetic characters in Phone Number optional field (e.g., ABCDE12345).
2. Click [Register].</t>
  </si>
  <si>
    <t>Pre-condition:
- On Registration page.
Step:
1. Input ' OR '1'='1 into First Name field.
2. Fill other fields with valid data and click [Register].</t>
  </si>
  <si>
    <t>Pre-condition:
- On Registration page.
Step:
1. Input &lt;script&gt;alert('xss')&lt;/script&gt; into Last Name field.
2. Complete registration and check profile display.</t>
  </si>
  <si>
    <t>Pre-condition:
- Valid registration form filled.
Step:
1. Double-click or rapidly click the [Register] button multiple times simultaneously.</t>
  </si>
  <si>
    <t>CustRegistration</t>
  </si>
  <si>
    <t>Check registration with all valid mandatory and optional fields</t>
  </si>
  <si>
    <t>Check registration with complex valid password (uppercase, lowercase, number, special char)</t>
  </si>
  <si>
    <t>Check email case insensitivity handling during successful registration</t>
  </si>
  <si>
    <t>Check newsletter subscription default state and opt-in/opt-out behavior</t>
  </si>
  <si>
    <t>Check successful redirect and auto-login/welcome screen after registration</t>
  </si>
  <si>
    <t>Check welcome email notification trigger after successful registration</t>
  </si>
  <si>
    <t>Not success - Validation</t>
  </si>
  <si>
    <t>Check submit registration with completely empty form</t>
  </si>
  <si>
    <t>e.g. johndoegmail.com</t>
  </si>
  <si>
    <t>e.g. johndoe@</t>
  </si>
  <si>
    <t>Check registration with already registered email (Duplicate email)</t>
  </si>
  <si>
    <t>email of existing user</t>
  </si>
  <si>
    <t>&lt; 8 characters</t>
  </si>
  <si>
    <t>Check registration without accepting Terms and Conditions checkbox</t>
  </si>
  <si>
    <t>if phone field exists</t>
  </si>
  <si>
    <t>Security &amp; Edge Cases</t>
  </si>
  <si>
    <t>Check SQL injection payload in Name and Email fields</t>
  </si>
  <si>
    <t>e.g. ' OR '1'='1</t>
  </si>
  <si>
    <t>Check XSS script payload in input fields</t>
  </si>
  <si>
    <t>Prevent double submission</t>
  </si>
  <si>
    <t>GUI &amp; Usability</t>
  </si>
  <si>
    <t>Check layout and default state of Registration screen</t>
  </si>
  <si>
    <t>Check password visibility toggle icon (Show/Hide password)</t>
  </si>
  <si>
    <t>Check Tab index navigation order across form fields</t>
  </si>
  <si>
    <t>Keyboard accessibility</t>
  </si>
  <si>
    <t>Check form submission via 'Enter' key on last input field</t>
  </si>
  <si>
    <t>Usability</t>
  </si>
  <si>
    <t>e.g. User@Example.com</t>
  </si>
  <si>
    <r>
      <t xml:space="preserve">e.g. </t>
    </r>
    <r>
      <rPr>
        <sz val="10"/>
        <color rgb="FF188038"/>
        <rFont val="Courier New"/>
        <family val="3"/>
      </rPr>
      <t>&lt;script&gt;alert(1)&lt;/script&gt;</t>
    </r>
  </si>
  <si>
    <t>Nguyen Hoai Thuong</t>
  </si>
  <si>
    <t>1.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</si>
</sst>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5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i/>
      <sz val="10"/>
      <color rgb="FF008000"/>
      <name val="Tahoma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188038"/>
      <name val="Courier New"/>
      <family val="3"/>
    </font>
    <font>
      <b/>
      <sz val="10"/>
      <color rgb="FF9933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2" borderId="1" xfId="0" applyFont="1" applyFill="1" applyBorder="1"/>
    <xf numFmtId="0" fontId="4" fillId="2" borderId="5" xfId="0" applyFont="1" applyFill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1" xfId="0" applyFont="1" applyFill="1" applyBorder="1"/>
    <xf numFmtId="0" fontId="4" fillId="0" borderId="0" xfId="0" applyFont="1" applyAlignment="1">
      <alignment horizontal="left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" fontId="4" fillId="2" borderId="1" xfId="0" applyNumberFormat="1" applyFont="1" applyFill="1" applyBorder="1"/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" fontId="6" fillId="4" borderId="14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5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9" fillId="2" borderId="24" xfId="0" applyFont="1" applyFill="1" applyBorder="1" applyAlignment="1">
      <alignment horizontal="left" wrapText="1"/>
    </xf>
    <xf numFmtId="0" fontId="9" fillId="2" borderId="25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wrapText="1"/>
    </xf>
    <xf numFmtId="0" fontId="13" fillId="2" borderId="2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center"/>
    </xf>
    <xf numFmtId="0" fontId="14" fillId="2" borderId="1" xfId="0" applyFont="1" applyFill="1" applyBorder="1"/>
    <xf numFmtId="0" fontId="9" fillId="2" borderId="1" xfId="0" applyFont="1" applyFill="1" applyBorder="1"/>
    <xf numFmtId="15" fontId="1" fillId="2" borderId="1" xfId="0" applyNumberFormat="1" applyFont="1" applyFill="1" applyBorder="1"/>
    <xf numFmtId="0" fontId="4" fillId="2" borderId="5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14" fontId="4" fillId="2" borderId="27" xfId="0" applyNumberFormat="1" applyFont="1" applyFill="1" applyBorder="1" applyAlignment="1">
      <alignment horizontal="left"/>
    </xf>
    <xf numFmtId="0" fontId="5" fillId="2" borderId="27" xfId="0" applyFont="1" applyFill="1" applyBorder="1" applyAlignment="1">
      <alignment vertical="top"/>
    </xf>
    <xf numFmtId="0" fontId="5" fillId="2" borderId="1" xfId="0" applyFont="1" applyFill="1" applyBorder="1"/>
    <xf numFmtId="0" fontId="1" fillId="2" borderId="31" xfId="0" applyFont="1" applyFill="1" applyBorder="1"/>
    <xf numFmtId="0" fontId="6" fillId="3" borderId="32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wrapText="1"/>
    </xf>
    <xf numFmtId="0" fontId="6" fillId="3" borderId="2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5" fillId="3" borderId="37" xfId="0" applyFont="1" applyFill="1" applyBorder="1" applyAlignment="1">
      <alignment horizontal="center"/>
    </xf>
    <xf numFmtId="0" fontId="6" fillId="3" borderId="20" xfId="0" applyFont="1" applyFill="1" applyBorder="1"/>
    <xf numFmtId="0" fontId="15" fillId="3" borderId="20" xfId="0" applyFont="1" applyFill="1" applyBorder="1" applyAlignment="1">
      <alignment horizontal="center"/>
    </xf>
    <xf numFmtId="0" fontId="15" fillId="3" borderId="3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left"/>
    </xf>
    <xf numFmtId="0" fontId="4" fillId="2" borderId="6" xfId="0" applyFont="1" applyFill="1" applyBorder="1" applyAlignment="1">
      <alignment horizontal="left" vertical="center"/>
    </xf>
    <xf numFmtId="0" fontId="3" fillId="0" borderId="10" xfId="0" applyFont="1" applyBorder="1"/>
    <xf numFmtId="0" fontId="5" fillId="0" borderId="7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4" fillId="2" borderId="2" xfId="0" applyNumberFormat="1" applyFont="1" applyFill="1" applyBorder="1"/>
    <xf numFmtId="0" fontId="3" fillId="0" borderId="21" xfId="0" applyFont="1" applyBorder="1"/>
    <xf numFmtId="0" fontId="5" fillId="2" borderId="2" xfId="0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/>
    </xf>
    <xf numFmtId="0" fontId="2" fillId="2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6" fillId="3" borderId="40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17" fillId="6" borderId="39" xfId="0" applyFont="1" applyFill="1" applyBorder="1" applyAlignment="1">
      <alignment vertical="center" wrapText="1"/>
    </xf>
    <xf numFmtId="0" fontId="17" fillId="6" borderId="46" xfId="0" applyFont="1" applyFill="1" applyBorder="1" applyAlignment="1">
      <alignment vertical="center" wrapText="1"/>
    </xf>
    <xf numFmtId="0" fontId="17" fillId="6" borderId="39" xfId="0" applyFont="1" applyFill="1" applyBorder="1" applyAlignment="1">
      <alignment horizontal="center" vertical="center" wrapText="1"/>
    </xf>
    <xf numFmtId="0" fontId="17" fillId="6" borderId="39" xfId="0" applyFont="1" applyFill="1" applyBorder="1" applyAlignment="1">
      <alignment horizontal="center" vertical="top" wrapText="1"/>
    </xf>
    <xf numFmtId="0" fontId="19" fillId="6" borderId="44" xfId="0" applyFont="1" applyFill="1" applyBorder="1" applyAlignment="1">
      <alignment horizontal="center" vertical="top" wrapText="1"/>
    </xf>
    <xf numFmtId="0" fontId="19" fillId="6" borderId="44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 vertical="center" wrapText="1"/>
    </xf>
    <xf numFmtId="0" fontId="17" fillId="6" borderId="46" xfId="0" applyFont="1" applyFill="1" applyBorder="1" applyAlignment="1">
      <alignment horizontal="center" vertical="top" wrapText="1"/>
    </xf>
    <xf numFmtId="0" fontId="19" fillId="6" borderId="47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center" wrapText="1"/>
    </xf>
    <xf numFmtId="0" fontId="19" fillId="6" borderId="43" xfId="0" applyFont="1" applyFill="1" applyBorder="1" applyAlignment="1">
      <alignment horizontal="center" vertical="center" wrapText="1"/>
    </xf>
    <xf numFmtId="0" fontId="19" fillId="6" borderId="45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vertical="center" wrapText="1"/>
    </xf>
    <xf numFmtId="0" fontId="22" fillId="0" borderId="39" xfId="0" applyFont="1" applyBorder="1" applyAlignment="1">
      <alignment vertical="top" wrapText="1"/>
    </xf>
    <xf numFmtId="0" fontId="0" fillId="0" borderId="39" xfId="0" applyFill="1" applyBorder="1"/>
    <xf numFmtId="0" fontId="18" fillId="0" borderId="4" xfId="0" applyFont="1" applyBorder="1"/>
    <xf numFmtId="15" fontId="6" fillId="3" borderId="48" xfId="0" applyNumberFormat="1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14" fontId="5" fillId="0" borderId="39" xfId="0" applyNumberFormat="1" applyFont="1" applyBorder="1" applyAlignment="1">
      <alignment vertical="top" wrapText="1"/>
    </xf>
    <xf numFmtId="49" fontId="1" fillId="0" borderId="39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20" fillId="0" borderId="39" xfId="0" applyFont="1" applyBorder="1" applyAlignment="1">
      <alignment vertical="top" wrapText="1"/>
    </xf>
    <xf numFmtId="0" fontId="24" fillId="2" borderId="27" xfId="0" applyFont="1" applyFill="1" applyBorder="1" applyAlignment="1">
      <alignment horizontal="left"/>
    </xf>
    <xf numFmtId="0" fontId="20" fillId="2" borderId="2" xfId="0" applyFont="1" applyFill="1" applyBorder="1" applyAlignment="1">
      <alignment vertical="top" wrapText="1"/>
    </xf>
  </cellXfs>
  <cellStyles count="1">
    <cellStyle name="Normal" xfId="0" builtinId="0"/>
  </cellStyles>
  <dxfs count="21"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20"/>
      <tableStyleElement type="totalRow" dxfId="19"/>
      <tableStyleElement type="firstRowStripe" dxfId="18"/>
      <tableStyleElement type="secondRowStripe" dxfId="17"/>
    </tableStyle>
    <tableStyle name="List Organisation-style" pivot="0" count="4" xr9:uid="{00000000-0011-0000-FFFF-FFFF01000000}"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2" Type="http://customschemas.google.com/relationships/workbookmetadata" Target="metadata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6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9901E-9FBF-4FF2-922D-540C92F3F27F}" name="Table_14" displayName="Table_14" ref="A8:H38" headerRowDxfId="8" dataDxfId="12" totalsRowDxfId="7" headerRowBorderDxfId="10" tableBorderDxfId="11">
  <tableColumns count="8">
    <tableColumn id="1" xr3:uid="{39883C5E-D0E2-4DCA-95A7-5703046CBC73}" name="ID" dataDxfId="0">
      <calculatedColumnFormula>IF(OR(B9&lt;&gt;"",D9&lt;&gt;""),"["&amp;TEXT($B$2,"##")&amp;"-"&amp;TEXT(ROW()-8,"##")&amp;"]","")</calculatedColumnFormula>
    </tableColumn>
    <tableColumn id="2" xr3:uid="{7845725A-8D9E-4E8A-AE4D-FD70332D6406}" name="Test Case Description" dataDxfId="1"/>
    <tableColumn id="3" xr3:uid="{4B648324-BD5E-4A5F-871B-EFDA8B131628}" name="Test Case Procedure" dataDxfId="9"/>
    <tableColumn id="4" xr3:uid="{C9A9CA28-495E-4260-8F0F-0FC9365D447B}" name="Expected Output" dataDxfId="6"/>
    <tableColumn id="5" xr3:uid="{E0B217F6-9EDE-4929-94ED-33976A496315}" name="Inter-test case Dependence" dataDxfId="5"/>
    <tableColumn id="6" xr3:uid="{22E83CA0-CF01-4BE6-93A7-9732E5BA7E4D}" name="Result" dataDxfId="4"/>
    <tableColumn id="7" xr3:uid="{CAF36FF9-E9B8-417A-8783-E1EEC28E5F7C}" name="Test date" dataDxfId="3"/>
    <tableColumn id="8" xr3:uid="{056B3105-CCC5-4E1A-8BAE-19F1DAF196F5}" name="Note" dataDxfId="2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workbookViewId="0">
      <selection activeCell="D15" sqref="D15"/>
    </sheetView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28515625" customWidth="1"/>
    <col min="4" max="4" width="16.5703125" customWidth="1"/>
    <col min="5" max="5" width="16.42578125" customWidth="1"/>
    <col min="6" max="6" width="35.5703125" customWidth="1"/>
    <col min="7" max="7" width="35.42578125" customWidth="1"/>
    <col min="8" max="26" width="9.140625" customWidth="1"/>
  </cols>
  <sheetData>
    <row r="2" spans="2:7" ht="75.75" customHeight="1" x14ac:dyDescent="0.25">
      <c r="B2" s="74" t="s">
        <v>0</v>
      </c>
      <c r="C2" s="75"/>
      <c r="D2" s="75"/>
      <c r="E2" s="75"/>
      <c r="F2" s="75"/>
      <c r="G2" s="76"/>
    </row>
    <row r="3" spans="2:7" ht="12.75" customHeight="1" x14ac:dyDescent="0.25">
      <c r="B3" s="3"/>
      <c r="C3" s="4"/>
      <c r="D3" s="1"/>
      <c r="E3" s="1"/>
      <c r="F3" s="5"/>
      <c r="G3" s="1"/>
    </row>
    <row r="4" spans="2:7" ht="14.25" customHeight="1" x14ac:dyDescent="0.25">
      <c r="B4" s="6" t="s">
        <v>1</v>
      </c>
      <c r="C4" s="77" t="s">
        <v>64</v>
      </c>
      <c r="D4" s="75"/>
      <c r="E4" s="76"/>
      <c r="F4" s="6" t="s">
        <v>2</v>
      </c>
      <c r="G4" s="117" t="s">
        <v>68</v>
      </c>
    </row>
    <row r="5" spans="2:7" ht="14.25" customHeight="1" x14ac:dyDescent="0.25">
      <c r="B5" s="6" t="s">
        <v>3</v>
      </c>
      <c r="C5" s="77" t="s">
        <v>64</v>
      </c>
      <c r="D5" s="75"/>
      <c r="E5" s="76"/>
      <c r="F5" s="6" t="s">
        <v>4</v>
      </c>
      <c r="G5" s="117" t="s">
        <v>192</v>
      </c>
    </row>
    <row r="6" spans="2:7" ht="15.75" customHeight="1" x14ac:dyDescent="0.25">
      <c r="B6" s="78" t="s">
        <v>5</v>
      </c>
      <c r="C6" s="80" t="str">
        <f>C5&amp;"_TestCase_V0.1"</f>
        <v>group02-mahocommerce-testing_TestCase_V0.1</v>
      </c>
      <c r="D6" s="81"/>
      <c r="E6" s="82"/>
      <c r="F6" s="6" t="s">
        <v>6</v>
      </c>
      <c r="G6" s="7">
        <v>46316</v>
      </c>
    </row>
    <row r="7" spans="2:7" ht="13.5" customHeight="1" x14ac:dyDescent="0.25">
      <c r="B7" s="79"/>
      <c r="C7" s="83"/>
      <c r="D7" s="84"/>
      <c r="E7" s="85"/>
      <c r="F7" s="6" t="s">
        <v>7</v>
      </c>
      <c r="G7" s="8">
        <v>0.1</v>
      </c>
    </row>
    <row r="8" spans="2:7" ht="12.75" customHeight="1" x14ac:dyDescent="0.25">
      <c r="B8" s="9"/>
      <c r="C8" s="4"/>
      <c r="D8" s="1"/>
      <c r="E8" s="1"/>
      <c r="F8" s="3"/>
      <c r="G8" s="4"/>
    </row>
    <row r="9" spans="2:7" ht="12.75" customHeight="1" x14ac:dyDescent="0.25">
      <c r="B9" s="2"/>
      <c r="C9" s="1"/>
      <c r="D9" s="1"/>
      <c r="E9" s="1"/>
      <c r="F9" s="1"/>
      <c r="G9" s="1"/>
    </row>
    <row r="10" spans="2:7" ht="12.75" customHeight="1" x14ac:dyDescent="0.25">
      <c r="B10" s="10" t="s">
        <v>8</v>
      </c>
      <c r="C10" s="1"/>
      <c r="D10" s="1"/>
      <c r="E10" s="1"/>
      <c r="F10" s="1"/>
      <c r="G10" s="1"/>
    </row>
    <row r="11" spans="2:7" ht="12.75" customHeight="1" x14ac:dyDescent="0.25">
      <c r="B11" s="118" t="s">
        <v>9</v>
      </c>
      <c r="C11" s="119" t="s">
        <v>7</v>
      </c>
      <c r="D11" s="119" t="s">
        <v>10</v>
      </c>
      <c r="E11" s="119" t="s">
        <v>11</v>
      </c>
      <c r="F11" s="119" t="s">
        <v>12</v>
      </c>
      <c r="G11" s="120" t="s">
        <v>13</v>
      </c>
    </row>
    <row r="12" spans="2:7" ht="25.5" customHeight="1" x14ac:dyDescent="0.25">
      <c r="B12" s="121">
        <v>46316</v>
      </c>
      <c r="C12" s="122" t="s">
        <v>14</v>
      </c>
      <c r="D12" s="123"/>
      <c r="E12" s="123" t="s">
        <v>15</v>
      </c>
      <c r="F12" s="123" t="s">
        <v>16</v>
      </c>
      <c r="G12" s="124" t="s">
        <v>17</v>
      </c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30.28515625" customWidth="1"/>
    <col min="4" max="4" width="19.5703125" customWidth="1"/>
    <col min="5" max="5" width="32.140625" customWidth="1"/>
    <col min="6" max="6" width="35" customWidth="1"/>
    <col min="7" max="26" width="9.140625" customWidth="1"/>
  </cols>
  <sheetData>
    <row r="1" spans="2:6" ht="25.5" customHeight="1" x14ac:dyDescent="0.35">
      <c r="B1" s="11"/>
      <c r="C1" s="12"/>
      <c r="D1" s="13" t="s">
        <v>18</v>
      </c>
      <c r="E1" s="14"/>
      <c r="F1" s="12"/>
    </row>
    <row r="2" spans="2:6" ht="13.5" customHeight="1" x14ac:dyDescent="0.25">
      <c r="B2" s="11"/>
      <c r="C2" s="12"/>
      <c r="D2" s="15"/>
      <c r="E2" s="15"/>
      <c r="F2" s="12"/>
    </row>
    <row r="3" spans="2:6" ht="12.75" customHeight="1" x14ac:dyDescent="0.25">
      <c r="B3" s="86" t="s">
        <v>1</v>
      </c>
      <c r="C3" s="87"/>
      <c r="D3" s="88" t="str">
        <f>Cover!C4</f>
        <v>group02-mahocommerce-testing</v>
      </c>
      <c r="E3" s="75"/>
      <c r="F3" s="76"/>
    </row>
    <row r="4" spans="2:6" ht="12.75" customHeight="1" x14ac:dyDescent="0.25">
      <c r="B4" s="86" t="s">
        <v>3</v>
      </c>
      <c r="C4" s="87"/>
      <c r="D4" s="88" t="str">
        <f>Cover!C5</f>
        <v>group02-mahocommerce-testing</v>
      </c>
      <c r="E4" s="75"/>
      <c r="F4" s="76"/>
    </row>
    <row r="5" spans="2:6" ht="84.75" customHeight="1" x14ac:dyDescent="0.25">
      <c r="B5" s="89" t="s">
        <v>19</v>
      </c>
      <c r="C5" s="76"/>
      <c r="D5" s="126" t="s">
        <v>193</v>
      </c>
      <c r="E5" s="75"/>
      <c r="F5" s="76"/>
    </row>
    <row r="6" spans="2:6" ht="12.75" customHeight="1" x14ac:dyDescent="0.25">
      <c r="B6" s="16"/>
      <c r="C6" s="5"/>
      <c r="D6" s="5"/>
      <c r="E6" s="5"/>
      <c r="F6" s="5"/>
    </row>
    <row r="7" spans="2:6" ht="12.75" customHeight="1" x14ac:dyDescent="0.25">
      <c r="B7" s="17"/>
      <c r="C7" s="18"/>
      <c r="D7" s="18"/>
      <c r="E7" s="18"/>
      <c r="F7" s="18"/>
    </row>
    <row r="8" spans="2:6" ht="21" customHeight="1" x14ac:dyDescent="0.25">
      <c r="B8" s="19" t="s">
        <v>20</v>
      </c>
      <c r="C8" s="20" t="s">
        <v>21</v>
      </c>
      <c r="D8" s="20" t="s">
        <v>22</v>
      </c>
      <c r="E8" s="21" t="s">
        <v>23</v>
      </c>
      <c r="F8" s="22" t="s">
        <v>24</v>
      </c>
    </row>
    <row r="9" spans="2:6" ht="13.5" customHeight="1" x14ac:dyDescent="0.25">
      <c r="B9" s="23">
        <v>1</v>
      </c>
      <c r="C9" s="24" t="s">
        <v>65</v>
      </c>
      <c r="D9" s="25" t="s">
        <v>67</v>
      </c>
      <c r="E9" s="26"/>
      <c r="F9" s="27"/>
    </row>
    <row r="10" spans="2:6" ht="12.75" customHeight="1" x14ac:dyDescent="0.25">
      <c r="B10" s="23"/>
      <c r="C10" s="28" t="s">
        <v>25</v>
      </c>
      <c r="D10" s="26"/>
      <c r="E10" s="29"/>
      <c r="F10" s="2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3C55-F8D0-4297-900D-7F348FEC9E01}">
  <dimension ref="A1:F32"/>
  <sheetViews>
    <sheetView tabSelected="1" topLeftCell="A31" zoomScale="130" zoomScaleNormal="130" workbookViewId="0">
      <selection activeCell="D9" sqref="D9"/>
    </sheetView>
  </sheetViews>
  <sheetFormatPr defaultColWidth="14.42578125" defaultRowHeight="15" customHeight="1" x14ac:dyDescent="0.25"/>
  <cols>
    <col min="1" max="1" width="25.7109375" bestFit="1" customWidth="1"/>
    <col min="2" max="2" width="25" customWidth="1"/>
    <col min="3" max="3" width="36.5703125" bestFit="1" customWidth="1"/>
    <col min="4" max="4" width="60" customWidth="1"/>
    <col min="5" max="5" width="14" bestFit="1" customWidth="1"/>
    <col min="6" max="6" width="31.42578125" customWidth="1"/>
    <col min="7" max="26" width="9.140625" customWidth="1"/>
  </cols>
  <sheetData>
    <row r="1" spans="1:6" ht="25.5" customHeight="1" x14ac:dyDescent="0.25">
      <c r="A1" s="113" t="s">
        <v>26</v>
      </c>
      <c r="B1" s="113" t="s">
        <v>27</v>
      </c>
      <c r="C1" s="113" t="s">
        <v>28</v>
      </c>
      <c r="D1" s="113" t="s">
        <v>29</v>
      </c>
      <c r="E1" s="113" t="s">
        <v>30</v>
      </c>
      <c r="F1" s="113" t="s">
        <v>31</v>
      </c>
    </row>
    <row r="2" spans="1:6" ht="12.75" customHeight="1" x14ac:dyDescent="0.25">
      <c r="A2" s="114" t="s">
        <v>66</v>
      </c>
      <c r="B2" s="114" t="s">
        <v>70</v>
      </c>
      <c r="C2" s="114" t="s">
        <v>32</v>
      </c>
      <c r="D2" s="114" t="s">
        <v>72</v>
      </c>
      <c r="E2" s="114" t="s">
        <v>33</v>
      </c>
      <c r="F2" s="115"/>
    </row>
    <row r="3" spans="1:6" x14ac:dyDescent="0.25">
      <c r="A3" s="115"/>
      <c r="B3" s="115"/>
      <c r="C3" s="115"/>
      <c r="D3" s="114" t="s">
        <v>163</v>
      </c>
      <c r="E3" s="114" t="s">
        <v>33</v>
      </c>
      <c r="F3" s="115"/>
    </row>
    <row r="4" spans="1:6" ht="12.75" customHeight="1" x14ac:dyDescent="0.25">
      <c r="A4" s="115"/>
      <c r="B4" s="115"/>
      <c r="C4" s="115"/>
      <c r="D4" s="114" t="s">
        <v>164</v>
      </c>
      <c r="E4" s="114" t="s">
        <v>33</v>
      </c>
      <c r="F4" s="115"/>
    </row>
    <row r="5" spans="1:6" ht="12.75" customHeight="1" x14ac:dyDescent="0.25">
      <c r="A5" s="115"/>
      <c r="B5" s="115"/>
      <c r="C5" s="115"/>
      <c r="D5" s="114" t="s">
        <v>165</v>
      </c>
      <c r="E5" s="114" t="s">
        <v>33</v>
      </c>
      <c r="F5" s="116" t="s">
        <v>190</v>
      </c>
    </row>
    <row r="6" spans="1:6" ht="12.75" customHeight="1" x14ac:dyDescent="0.25">
      <c r="A6" s="115"/>
      <c r="B6" s="115"/>
      <c r="C6" s="115"/>
      <c r="D6" s="114" t="s">
        <v>166</v>
      </c>
      <c r="E6" s="114" t="s">
        <v>33</v>
      </c>
      <c r="F6" s="115"/>
    </row>
    <row r="7" spans="1:6" ht="12.75" customHeight="1" x14ac:dyDescent="0.25">
      <c r="A7" s="115"/>
      <c r="B7" s="115"/>
      <c r="C7" s="115"/>
      <c r="D7" s="114" t="s">
        <v>167</v>
      </c>
      <c r="E7" s="114" t="s">
        <v>33</v>
      </c>
      <c r="F7" s="115"/>
    </row>
    <row r="8" spans="1:6" ht="12.75" customHeight="1" x14ac:dyDescent="0.25">
      <c r="A8" s="115"/>
      <c r="B8" s="115"/>
      <c r="C8" s="115"/>
      <c r="D8" s="114" t="s">
        <v>168</v>
      </c>
      <c r="E8" s="114" t="s">
        <v>33</v>
      </c>
      <c r="F8" s="115"/>
    </row>
    <row r="9" spans="1:6" ht="12.75" customHeight="1" x14ac:dyDescent="0.25">
      <c r="A9" s="115"/>
      <c r="B9" s="115"/>
      <c r="C9" s="114" t="s">
        <v>169</v>
      </c>
      <c r="D9" s="114" t="s">
        <v>170</v>
      </c>
      <c r="E9" s="114" t="s">
        <v>33</v>
      </c>
      <c r="F9" s="115"/>
    </row>
    <row r="10" spans="1:6" ht="12.75" customHeight="1" x14ac:dyDescent="0.25">
      <c r="A10" s="115"/>
      <c r="B10" s="115"/>
      <c r="C10" s="115"/>
      <c r="D10" s="114" t="s">
        <v>92</v>
      </c>
      <c r="E10" s="114" t="s">
        <v>33</v>
      </c>
      <c r="F10" s="115"/>
    </row>
    <row r="11" spans="1:6" ht="12.75" customHeight="1" x14ac:dyDescent="0.25">
      <c r="A11" s="115"/>
      <c r="B11" s="115"/>
      <c r="C11" s="115"/>
      <c r="D11" s="114" t="s">
        <v>94</v>
      </c>
      <c r="E11" s="114" t="s">
        <v>33</v>
      </c>
      <c r="F11" s="114" t="s">
        <v>171</v>
      </c>
    </row>
    <row r="12" spans="1:6" ht="12.75" customHeight="1" x14ac:dyDescent="0.25">
      <c r="A12" s="115"/>
      <c r="B12" s="115"/>
      <c r="C12" s="115"/>
      <c r="D12" s="114" t="s">
        <v>96</v>
      </c>
      <c r="E12" s="114" t="s">
        <v>33</v>
      </c>
      <c r="F12" s="114" t="s">
        <v>172</v>
      </c>
    </row>
    <row r="13" spans="1:6" ht="15" customHeight="1" x14ac:dyDescent="0.25">
      <c r="A13" s="115"/>
      <c r="B13" s="115"/>
      <c r="C13" s="115"/>
      <c r="D13" s="114" t="s">
        <v>173</v>
      </c>
      <c r="E13" s="114" t="s">
        <v>33</v>
      </c>
      <c r="F13" s="114" t="s">
        <v>174</v>
      </c>
    </row>
    <row r="14" spans="1:6" ht="15" customHeight="1" x14ac:dyDescent="0.25">
      <c r="A14" s="115"/>
      <c r="B14" s="115"/>
      <c r="C14" s="115"/>
      <c r="D14" s="114" t="s">
        <v>99</v>
      </c>
      <c r="E14" s="114" t="s">
        <v>33</v>
      </c>
      <c r="F14" s="115"/>
    </row>
    <row r="15" spans="1:6" ht="15" customHeight="1" x14ac:dyDescent="0.25">
      <c r="A15" s="115"/>
      <c r="B15" s="115"/>
      <c r="C15" s="115"/>
      <c r="D15" s="114" t="s">
        <v>101</v>
      </c>
      <c r="E15" s="114" t="s">
        <v>33</v>
      </c>
      <c r="F15" s="114" t="s">
        <v>175</v>
      </c>
    </row>
    <row r="16" spans="1:6" ht="15" customHeight="1" x14ac:dyDescent="0.25">
      <c r="A16" s="115"/>
      <c r="B16" s="115"/>
      <c r="C16" s="115"/>
      <c r="D16" s="114" t="s">
        <v>103</v>
      </c>
      <c r="E16" s="114" t="s">
        <v>33</v>
      </c>
      <c r="F16" s="115"/>
    </row>
    <row r="17" spans="1:6" ht="15" customHeight="1" x14ac:dyDescent="0.25">
      <c r="A17" s="115"/>
      <c r="B17" s="115"/>
      <c r="C17" s="115"/>
      <c r="D17" s="114" t="s">
        <v>105</v>
      </c>
      <c r="E17" s="114" t="s">
        <v>33</v>
      </c>
      <c r="F17" s="115"/>
    </row>
    <row r="18" spans="1:6" ht="15" customHeight="1" x14ac:dyDescent="0.25">
      <c r="A18" s="115"/>
      <c r="B18" s="115"/>
      <c r="C18" s="115"/>
      <c r="D18" s="114" t="s">
        <v>107</v>
      </c>
      <c r="E18" s="114" t="s">
        <v>33</v>
      </c>
      <c r="F18" s="115"/>
    </row>
    <row r="19" spans="1:6" ht="15" customHeight="1" x14ac:dyDescent="0.25">
      <c r="A19" s="115"/>
      <c r="B19" s="115"/>
      <c r="C19" s="115"/>
      <c r="D19" s="114" t="s">
        <v>109</v>
      </c>
      <c r="E19" s="114" t="s">
        <v>33</v>
      </c>
      <c r="F19" s="115"/>
    </row>
    <row r="20" spans="1:6" ht="15" customHeight="1" x14ac:dyDescent="0.25">
      <c r="A20" s="115"/>
      <c r="B20" s="115"/>
      <c r="C20" s="115"/>
      <c r="D20" s="114" t="s">
        <v>111</v>
      </c>
      <c r="E20" s="114" t="s">
        <v>33</v>
      </c>
      <c r="F20" s="115"/>
    </row>
    <row r="21" spans="1:6" ht="15" customHeight="1" x14ac:dyDescent="0.25">
      <c r="A21" s="115"/>
      <c r="B21" s="115"/>
      <c r="C21" s="115"/>
      <c r="D21" s="114" t="s">
        <v>113</v>
      </c>
      <c r="E21" s="114" t="s">
        <v>33</v>
      </c>
      <c r="F21" s="115"/>
    </row>
    <row r="22" spans="1:6" ht="15" customHeight="1" x14ac:dyDescent="0.25">
      <c r="A22" s="115"/>
      <c r="B22" s="115"/>
      <c r="C22" s="115"/>
      <c r="D22" s="114" t="s">
        <v>115</v>
      </c>
      <c r="E22" s="114" t="s">
        <v>33</v>
      </c>
      <c r="F22" s="115"/>
    </row>
    <row r="23" spans="1:6" ht="15" customHeight="1" x14ac:dyDescent="0.25">
      <c r="A23" s="115"/>
      <c r="B23" s="115"/>
      <c r="C23" s="115"/>
      <c r="D23" s="114" t="s">
        <v>117</v>
      </c>
      <c r="E23" s="114" t="s">
        <v>33</v>
      </c>
      <c r="F23" s="115"/>
    </row>
    <row r="24" spans="1:6" ht="15" customHeight="1" x14ac:dyDescent="0.25">
      <c r="A24" s="115"/>
      <c r="B24" s="115"/>
      <c r="C24" s="115"/>
      <c r="D24" s="114" t="s">
        <v>176</v>
      </c>
      <c r="E24" s="114" t="s">
        <v>33</v>
      </c>
      <c r="F24" s="115"/>
    </row>
    <row r="25" spans="1:6" ht="15" customHeight="1" x14ac:dyDescent="0.25">
      <c r="A25" s="115"/>
      <c r="B25" s="115"/>
      <c r="C25" s="115"/>
      <c r="D25" s="114" t="s">
        <v>121</v>
      </c>
      <c r="E25" s="114" t="s">
        <v>33</v>
      </c>
      <c r="F25" s="114" t="s">
        <v>177</v>
      </c>
    </row>
    <row r="26" spans="1:6" ht="15" customHeight="1" x14ac:dyDescent="0.25">
      <c r="A26" s="115"/>
      <c r="B26" s="115"/>
      <c r="C26" s="114" t="s">
        <v>178</v>
      </c>
      <c r="D26" s="114" t="s">
        <v>179</v>
      </c>
      <c r="E26" s="114" t="s">
        <v>33</v>
      </c>
      <c r="F26" s="114" t="s">
        <v>180</v>
      </c>
    </row>
    <row r="27" spans="1:6" ht="15" customHeight="1" x14ac:dyDescent="0.25">
      <c r="A27" s="115"/>
      <c r="B27" s="115"/>
      <c r="C27" s="115"/>
      <c r="D27" s="114" t="s">
        <v>181</v>
      </c>
      <c r="E27" s="114" t="s">
        <v>33</v>
      </c>
      <c r="F27" s="114" t="s">
        <v>191</v>
      </c>
    </row>
    <row r="28" spans="1:6" ht="15" customHeight="1" x14ac:dyDescent="0.25">
      <c r="A28" s="115"/>
      <c r="B28" s="115"/>
      <c r="C28" s="115"/>
      <c r="D28" s="114" t="s">
        <v>127</v>
      </c>
      <c r="E28" s="114" t="s">
        <v>33</v>
      </c>
      <c r="F28" s="114" t="s">
        <v>182</v>
      </c>
    </row>
    <row r="29" spans="1:6" ht="15" customHeight="1" x14ac:dyDescent="0.25">
      <c r="A29" s="115"/>
      <c r="B29" s="115"/>
      <c r="C29" s="114" t="s">
        <v>183</v>
      </c>
      <c r="D29" s="114" t="s">
        <v>184</v>
      </c>
      <c r="E29" s="114" t="s">
        <v>34</v>
      </c>
      <c r="F29" s="115"/>
    </row>
    <row r="30" spans="1:6" ht="15" customHeight="1" x14ac:dyDescent="0.25">
      <c r="A30" s="115"/>
      <c r="B30" s="115"/>
      <c r="C30" s="115"/>
      <c r="D30" s="114" t="s">
        <v>185</v>
      </c>
      <c r="E30" s="114" t="s">
        <v>34</v>
      </c>
      <c r="F30" s="115"/>
    </row>
    <row r="31" spans="1:6" ht="15" customHeight="1" x14ac:dyDescent="0.25">
      <c r="A31" s="115"/>
      <c r="B31" s="115"/>
      <c r="C31" s="115"/>
      <c r="D31" s="114" t="s">
        <v>186</v>
      </c>
      <c r="E31" s="114" t="s">
        <v>34</v>
      </c>
      <c r="F31" s="114" t="s">
        <v>187</v>
      </c>
    </row>
    <row r="32" spans="1:6" ht="15" customHeight="1" x14ac:dyDescent="0.25">
      <c r="A32" s="115"/>
      <c r="B32" s="115"/>
      <c r="C32" s="115"/>
      <c r="D32" s="114" t="s">
        <v>188</v>
      </c>
      <c r="E32" s="114" t="s">
        <v>33</v>
      </c>
      <c r="F32" s="114" t="s">
        <v>189</v>
      </c>
    </row>
  </sheetData>
  <autoFilter ref="A1:F12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BA18-8D04-4CDF-8806-192A492A18EF}">
  <dimension ref="A2:J38"/>
  <sheetViews>
    <sheetView workbookViewId="0">
      <selection activeCell="D9" sqref="D9"/>
    </sheetView>
  </sheetViews>
  <sheetFormatPr defaultColWidth="14.42578125" defaultRowHeight="15" customHeight="1" x14ac:dyDescent="0.25"/>
  <cols>
    <col min="1" max="1" width="19.5703125" customWidth="1"/>
    <col min="2" max="2" width="25.7109375" customWidth="1"/>
    <col min="3" max="3" width="29.28515625" customWidth="1"/>
    <col min="4" max="4" width="32.5703125" customWidth="1"/>
    <col min="5" max="5" width="29.42578125" customWidth="1"/>
    <col min="6" max="6" width="10.85546875" customWidth="1"/>
    <col min="7" max="7" width="12" customWidth="1"/>
    <col min="8" max="8" width="20.140625" customWidth="1"/>
    <col min="9" max="9" width="9.42578125" customWidth="1"/>
    <col min="10" max="10" width="8.140625" hidden="1" customWidth="1"/>
    <col min="11" max="26" width="9.140625" customWidth="1"/>
  </cols>
  <sheetData>
    <row r="2" spans="1:10" ht="15" customHeight="1" x14ac:dyDescent="0.25">
      <c r="A2" s="32" t="s">
        <v>35</v>
      </c>
      <c r="B2" s="110" t="s">
        <v>162</v>
      </c>
      <c r="C2" s="75"/>
      <c r="D2" s="75"/>
      <c r="E2" s="75"/>
      <c r="F2" s="75"/>
      <c r="G2" s="75"/>
      <c r="H2" s="76"/>
      <c r="I2" s="30"/>
      <c r="J2" s="31" t="s">
        <v>36</v>
      </c>
    </row>
    <row r="3" spans="1:10" ht="25.5" customHeight="1" x14ac:dyDescent="0.25">
      <c r="A3" s="33" t="s">
        <v>37</v>
      </c>
      <c r="B3" s="91" t="s">
        <v>69</v>
      </c>
      <c r="C3" s="75"/>
      <c r="D3" s="75"/>
      <c r="E3" s="75"/>
      <c r="F3" s="75"/>
      <c r="G3" s="75"/>
      <c r="H3" s="76"/>
      <c r="I3" s="30"/>
      <c r="J3" s="31" t="s">
        <v>38</v>
      </c>
    </row>
    <row r="4" spans="1:10" ht="18" customHeight="1" x14ac:dyDescent="0.25">
      <c r="A4" s="32" t="s">
        <v>39</v>
      </c>
      <c r="B4" s="91" t="s">
        <v>68</v>
      </c>
      <c r="C4" s="75"/>
      <c r="D4" s="75"/>
      <c r="E4" s="75"/>
      <c r="F4" s="75"/>
      <c r="G4" s="75"/>
      <c r="H4" s="76"/>
      <c r="I4" s="30"/>
      <c r="J4" s="31" t="s">
        <v>40</v>
      </c>
    </row>
    <row r="5" spans="1:10" ht="19.5" customHeight="1" x14ac:dyDescent="0.25">
      <c r="A5" s="34" t="s">
        <v>36</v>
      </c>
      <c r="B5" s="35" t="s">
        <v>38</v>
      </c>
      <c r="C5" s="35" t="s">
        <v>41</v>
      </c>
      <c r="D5" s="35" t="s">
        <v>40</v>
      </c>
      <c r="E5" s="36" t="s">
        <v>42</v>
      </c>
      <c r="F5" s="92" t="s">
        <v>43</v>
      </c>
      <c r="G5" s="75"/>
      <c r="H5" s="76"/>
      <c r="I5" s="37"/>
      <c r="J5" s="31" t="s">
        <v>41</v>
      </c>
    </row>
    <row r="6" spans="1:10" ht="15" customHeight="1" thickBot="1" x14ac:dyDescent="0.3">
      <c r="A6" s="38">
        <f>COUNTIF(F9:F1017,"Passed")</f>
        <v>0</v>
      </c>
      <c r="B6" s="39">
        <f>COUNTIF(F9:F1017,"Failed")</f>
        <v>0</v>
      </c>
      <c r="C6" s="39">
        <f>F6-E6-D6-B6-A6</f>
        <v>30</v>
      </c>
      <c r="D6" s="39">
        <f>COUNTIF(F$9:F$1017,"Blocked")</f>
        <v>0</v>
      </c>
      <c r="E6" s="40">
        <f>COUNTIF(F$9:F$1017,"Skipped")</f>
        <v>0</v>
      </c>
      <c r="F6" s="93">
        <f>COUNTA(A9:A1017)</f>
        <v>30</v>
      </c>
      <c r="G6" s="75"/>
      <c r="H6" s="76"/>
      <c r="I6" s="37"/>
      <c r="J6" s="31" t="s">
        <v>42</v>
      </c>
    </row>
    <row r="7" spans="1:10" ht="15" customHeight="1" x14ac:dyDescent="0.25">
      <c r="A7" s="31"/>
      <c r="B7" s="31"/>
      <c r="C7" s="31"/>
      <c r="D7" s="41"/>
      <c r="E7" s="41"/>
      <c r="F7" s="42"/>
      <c r="G7" s="42"/>
      <c r="H7" s="42"/>
      <c r="I7" s="37"/>
      <c r="J7" s="31"/>
    </row>
    <row r="8" spans="1:10" ht="25.5" customHeight="1" x14ac:dyDescent="0.25">
      <c r="A8" s="98" t="s">
        <v>44</v>
      </c>
      <c r="B8" s="99" t="s">
        <v>45</v>
      </c>
      <c r="C8" s="99" t="s">
        <v>46</v>
      </c>
      <c r="D8" s="99" t="s">
        <v>47</v>
      </c>
      <c r="E8" s="99" t="s">
        <v>48</v>
      </c>
      <c r="F8" s="99" t="s">
        <v>49</v>
      </c>
      <c r="G8" s="99" t="s">
        <v>50</v>
      </c>
      <c r="H8" s="100" t="s">
        <v>31</v>
      </c>
      <c r="I8" s="43"/>
      <c r="J8" s="31"/>
    </row>
    <row r="9" spans="1:10" ht="171" x14ac:dyDescent="0.25">
      <c r="A9" s="111" t="str">
        <f t="shared" ref="A9:A17" si="0">IF(OR(B9&lt;&gt;"",D9&lt;&gt;""),"["&amp;TEXT($B$2,"##")&amp;"-"&amp;TEXT(ROW()-8,"##")&amp;"]","")</f>
        <v>[CustRegistration-1]</v>
      </c>
      <c r="B9" s="101" t="s">
        <v>72</v>
      </c>
      <c r="C9" s="101" t="s">
        <v>130</v>
      </c>
      <c r="D9" s="101" t="s">
        <v>129</v>
      </c>
      <c r="E9" s="103" t="s">
        <v>73</v>
      </c>
      <c r="F9" s="103" t="s">
        <v>41</v>
      </c>
      <c r="G9" s="104"/>
      <c r="H9" s="105"/>
      <c r="I9" s="44"/>
      <c r="J9" s="5"/>
    </row>
    <row r="10" spans="1:10" ht="185.25" x14ac:dyDescent="0.25">
      <c r="A10" s="111" t="str">
        <f t="shared" si="0"/>
        <v>[CustRegistration-2]</v>
      </c>
      <c r="B10" s="101" t="s">
        <v>74</v>
      </c>
      <c r="C10" s="101" t="s">
        <v>135</v>
      </c>
      <c r="D10" s="101" t="s">
        <v>131</v>
      </c>
      <c r="E10" s="103" t="s">
        <v>73</v>
      </c>
      <c r="F10" s="103" t="s">
        <v>41</v>
      </c>
      <c r="G10" s="104"/>
      <c r="H10" s="105"/>
      <c r="I10" s="44"/>
      <c r="J10" s="5"/>
    </row>
    <row r="11" spans="1:10" ht="99.75" x14ac:dyDescent="0.25">
      <c r="A11" s="111" t="str">
        <f t="shared" si="0"/>
        <v>[CustRegistration-3]</v>
      </c>
      <c r="B11" s="101" t="s">
        <v>75</v>
      </c>
      <c r="C11" s="101" t="s">
        <v>132</v>
      </c>
      <c r="D11" s="101" t="s">
        <v>76</v>
      </c>
      <c r="E11" s="103" t="s">
        <v>73</v>
      </c>
      <c r="F11" s="103" t="s">
        <v>41</v>
      </c>
      <c r="G11" s="104"/>
      <c r="H11" s="105"/>
      <c r="I11" s="45"/>
      <c r="J11" s="31"/>
    </row>
    <row r="12" spans="1:10" ht="99.75" x14ac:dyDescent="0.25">
      <c r="A12" s="111" t="str">
        <f t="shared" si="0"/>
        <v>[CustRegistration-4]</v>
      </c>
      <c r="B12" s="101" t="s">
        <v>77</v>
      </c>
      <c r="C12" s="101" t="s">
        <v>136</v>
      </c>
      <c r="D12" s="101" t="s">
        <v>78</v>
      </c>
      <c r="E12" s="103" t="s">
        <v>73</v>
      </c>
      <c r="F12" s="103" t="s">
        <v>41</v>
      </c>
      <c r="G12" s="104"/>
      <c r="H12" s="105"/>
      <c r="I12" s="44"/>
      <c r="J12" s="5"/>
    </row>
    <row r="13" spans="1:10" ht="156.75" x14ac:dyDescent="0.25">
      <c r="A13" s="111" t="str">
        <f t="shared" si="0"/>
        <v>[CustRegistration-5]</v>
      </c>
      <c r="B13" s="101" t="s">
        <v>79</v>
      </c>
      <c r="C13" s="101" t="s">
        <v>133</v>
      </c>
      <c r="D13" s="101" t="s">
        <v>80</v>
      </c>
      <c r="E13" s="103" t="s">
        <v>73</v>
      </c>
      <c r="F13" s="103" t="s">
        <v>41</v>
      </c>
      <c r="G13" s="104"/>
      <c r="H13" s="106"/>
      <c r="I13" s="46"/>
      <c r="J13" s="5"/>
    </row>
    <row r="14" spans="1:10" ht="85.5" x14ac:dyDescent="0.25">
      <c r="A14" s="111" t="str">
        <f t="shared" si="0"/>
        <v>[CustRegistration-6]</v>
      </c>
      <c r="B14" s="101" t="s">
        <v>81</v>
      </c>
      <c r="C14" s="101" t="s">
        <v>137</v>
      </c>
      <c r="D14" s="101" t="s">
        <v>82</v>
      </c>
      <c r="E14" s="103" t="s">
        <v>71</v>
      </c>
      <c r="F14" s="103" t="s">
        <v>41</v>
      </c>
      <c r="G14" s="104"/>
      <c r="H14" s="105"/>
      <c r="I14" s="45"/>
      <c r="J14" s="31"/>
    </row>
    <row r="15" spans="1:10" ht="99.75" x14ac:dyDescent="0.25">
      <c r="A15" s="111" t="str">
        <f t="shared" si="0"/>
        <v>[CustRegistration-7]</v>
      </c>
      <c r="B15" s="101" t="s">
        <v>83</v>
      </c>
      <c r="C15" s="101" t="s">
        <v>134</v>
      </c>
      <c r="D15" s="101" t="s">
        <v>84</v>
      </c>
      <c r="E15" s="103" t="s">
        <v>71</v>
      </c>
      <c r="F15" s="103" t="s">
        <v>41</v>
      </c>
      <c r="G15" s="104"/>
      <c r="H15" s="105"/>
      <c r="I15" s="44"/>
      <c r="J15" s="5"/>
    </row>
    <row r="16" spans="1:10" ht="99.75" x14ac:dyDescent="0.25">
      <c r="A16" s="111" t="str">
        <f t="shared" si="0"/>
        <v>[CustRegistration-8]</v>
      </c>
      <c r="B16" s="101" t="s">
        <v>85</v>
      </c>
      <c r="C16" s="101" t="s">
        <v>138</v>
      </c>
      <c r="D16" s="101" t="s">
        <v>139</v>
      </c>
      <c r="E16" s="103" t="s">
        <v>73</v>
      </c>
      <c r="F16" s="103" t="s">
        <v>41</v>
      </c>
      <c r="G16" s="104"/>
      <c r="H16" s="105" t="s">
        <v>51</v>
      </c>
      <c r="I16" s="46"/>
      <c r="J16" s="5"/>
    </row>
    <row r="17" spans="1:8" ht="114.75" customHeight="1" x14ac:dyDescent="0.25">
      <c r="A17" s="111" t="str">
        <f t="shared" si="0"/>
        <v>[CustRegistration-9]</v>
      </c>
      <c r="B17" s="101" t="s">
        <v>86</v>
      </c>
      <c r="C17" s="101" t="s">
        <v>140</v>
      </c>
      <c r="D17" s="101" t="s">
        <v>87</v>
      </c>
      <c r="E17" s="103" t="s">
        <v>73</v>
      </c>
      <c r="F17" s="103" t="s">
        <v>41</v>
      </c>
      <c r="G17" s="104"/>
      <c r="H17" s="105" t="s">
        <v>52</v>
      </c>
    </row>
    <row r="18" spans="1:8" ht="114" x14ac:dyDescent="0.25">
      <c r="A18" s="111" t="str">
        <f t="shared" ref="A18:A38" si="1">IF(OR(B18&lt;&gt;"",D18&lt;&gt;""),"["&amp;TEXT($B$2,"##")&amp;"-"&amp;TEXT(ROW()-8,"##")&amp;"]","")</f>
        <v>[CustRegistration-10]</v>
      </c>
      <c r="B18" s="101" t="s">
        <v>88</v>
      </c>
      <c r="C18" s="101" t="s">
        <v>141</v>
      </c>
      <c r="D18" s="101" t="s">
        <v>89</v>
      </c>
      <c r="E18" s="103" t="s">
        <v>71</v>
      </c>
      <c r="F18" s="103" t="s">
        <v>41</v>
      </c>
      <c r="G18" s="104"/>
      <c r="H18" s="105"/>
    </row>
    <row r="19" spans="1:8" ht="85.5" x14ac:dyDescent="0.25">
      <c r="A19" s="111" t="str">
        <f t="shared" si="1"/>
        <v>[CustRegistration-11]</v>
      </c>
      <c r="B19" s="101" t="s">
        <v>90</v>
      </c>
      <c r="C19" s="101" t="s">
        <v>142</v>
      </c>
      <c r="D19" s="101" t="s">
        <v>91</v>
      </c>
      <c r="E19" s="103" t="s">
        <v>73</v>
      </c>
      <c r="F19" s="103" t="s">
        <v>41</v>
      </c>
      <c r="G19" s="104"/>
      <c r="H19" s="105"/>
    </row>
    <row r="20" spans="1:8" ht="85.5" x14ac:dyDescent="0.25">
      <c r="A20" s="111" t="str">
        <f t="shared" si="1"/>
        <v>[CustRegistration-12]</v>
      </c>
      <c r="B20" s="101" t="s">
        <v>92</v>
      </c>
      <c r="C20" s="101" t="s">
        <v>143</v>
      </c>
      <c r="D20" s="101" t="s">
        <v>93</v>
      </c>
      <c r="E20" s="103" t="s">
        <v>73</v>
      </c>
      <c r="F20" s="103" t="s">
        <v>41</v>
      </c>
      <c r="G20" s="104"/>
      <c r="H20" s="105"/>
    </row>
    <row r="21" spans="1:8" ht="99.75" x14ac:dyDescent="0.25">
      <c r="A21" s="111" t="str">
        <f t="shared" si="1"/>
        <v>[CustRegistration-13]</v>
      </c>
      <c r="B21" s="101" t="s">
        <v>94</v>
      </c>
      <c r="C21" s="101" t="s">
        <v>144</v>
      </c>
      <c r="D21" s="101" t="s">
        <v>95</v>
      </c>
      <c r="E21" s="103" t="s">
        <v>73</v>
      </c>
      <c r="F21" s="103" t="s">
        <v>41</v>
      </c>
      <c r="G21" s="104"/>
      <c r="H21" s="105"/>
    </row>
    <row r="22" spans="1:8" ht="71.25" x14ac:dyDescent="0.25">
      <c r="A22" s="111" t="str">
        <f t="shared" si="1"/>
        <v>[CustRegistration-14]</v>
      </c>
      <c r="B22" s="101" t="s">
        <v>96</v>
      </c>
      <c r="C22" s="101" t="s">
        <v>145</v>
      </c>
      <c r="D22" s="101" t="s">
        <v>95</v>
      </c>
      <c r="E22" s="103" t="s">
        <v>73</v>
      </c>
      <c r="F22" s="103" t="s">
        <v>41</v>
      </c>
      <c r="G22" s="104"/>
      <c r="H22" s="105"/>
    </row>
    <row r="23" spans="1:8" ht="142.5" x14ac:dyDescent="0.25">
      <c r="A23" s="111" t="str">
        <f t="shared" si="1"/>
        <v>[CustRegistration-15]</v>
      </c>
      <c r="B23" s="101" t="s">
        <v>97</v>
      </c>
      <c r="C23" s="101" t="s">
        <v>146</v>
      </c>
      <c r="D23" s="101" t="s">
        <v>98</v>
      </c>
      <c r="E23" s="103" t="s">
        <v>73</v>
      </c>
      <c r="F23" s="103" t="s">
        <v>41</v>
      </c>
      <c r="G23" s="104"/>
      <c r="H23" s="105"/>
    </row>
    <row r="24" spans="1:8" ht="85.5" x14ac:dyDescent="0.25">
      <c r="A24" s="111" t="str">
        <f t="shared" si="1"/>
        <v>[CustRegistration-16]</v>
      </c>
      <c r="B24" s="101" t="s">
        <v>99</v>
      </c>
      <c r="C24" s="101" t="s">
        <v>147</v>
      </c>
      <c r="D24" s="101" t="s">
        <v>100</v>
      </c>
      <c r="E24" s="103" t="s">
        <v>73</v>
      </c>
      <c r="F24" s="103" t="s">
        <v>41</v>
      </c>
      <c r="G24" s="104"/>
      <c r="H24" s="105"/>
    </row>
    <row r="25" spans="1:8" ht="114" x14ac:dyDescent="0.25">
      <c r="A25" s="111" t="str">
        <f t="shared" si="1"/>
        <v>[CustRegistration-17]</v>
      </c>
      <c r="B25" s="101" t="s">
        <v>101</v>
      </c>
      <c r="C25" s="101" t="s">
        <v>148</v>
      </c>
      <c r="D25" s="101" t="s">
        <v>102</v>
      </c>
      <c r="E25" s="103" t="s">
        <v>73</v>
      </c>
      <c r="F25" s="103" t="s">
        <v>41</v>
      </c>
      <c r="G25" s="104"/>
      <c r="H25" s="105"/>
    </row>
    <row r="26" spans="1:8" ht="128.25" x14ac:dyDescent="0.25">
      <c r="A26" s="111" t="str">
        <f t="shared" si="1"/>
        <v>[CustRegistration-18]</v>
      </c>
      <c r="B26" s="101" t="s">
        <v>103</v>
      </c>
      <c r="C26" s="101" t="s">
        <v>149</v>
      </c>
      <c r="D26" s="101" t="s">
        <v>104</v>
      </c>
      <c r="E26" s="103" t="s">
        <v>73</v>
      </c>
      <c r="F26" s="103" t="s">
        <v>41</v>
      </c>
      <c r="G26" s="104"/>
      <c r="H26" s="105"/>
    </row>
    <row r="27" spans="1:8" ht="128.25" x14ac:dyDescent="0.25">
      <c r="A27" s="111" t="str">
        <f t="shared" si="1"/>
        <v>[CustRegistration-19]</v>
      </c>
      <c r="B27" s="101" t="s">
        <v>105</v>
      </c>
      <c r="C27" s="101" t="s">
        <v>150</v>
      </c>
      <c r="D27" s="101" t="s">
        <v>106</v>
      </c>
      <c r="E27" s="103" t="s">
        <v>73</v>
      </c>
      <c r="F27" s="103" t="s">
        <v>41</v>
      </c>
      <c r="G27" s="104"/>
      <c r="H27" s="105"/>
    </row>
    <row r="28" spans="1:8" ht="99.75" x14ac:dyDescent="0.25">
      <c r="A28" s="111" t="str">
        <f t="shared" si="1"/>
        <v>[CustRegistration-20]</v>
      </c>
      <c r="B28" s="101" t="s">
        <v>107</v>
      </c>
      <c r="C28" s="101" t="s">
        <v>151</v>
      </c>
      <c r="D28" s="101" t="s">
        <v>108</v>
      </c>
      <c r="E28" s="103" t="s">
        <v>73</v>
      </c>
      <c r="F28" s="103" t="s">
        <v>41</v>
      </c>
      <c r="G28" s="104"/>
      <c r="H28" s="105"/>
    </row>
    <row r="29" spans="1:8" ht="114" x14ac:dyDescent="0.25">
      <c r="A29" s="111" t="str">
        <f t="shared" si="1"/>
        <v>[CustRegistration-21]</v>
      </c>
      <c r="B29" s="101" t="s">
        <v>109</v>
      </c>
      <c r="C29" s="101" t="s">
        <v>152</v>
      </c>
      <c r="D29" s="101" t="s">
        <v>110</v>
      </c>
      <c r="E29" s="103" t="s">
        <v>73</v>
      </c>
      <c r="F29" s="103" t="s">
        <v>41</v>
      </c>
      <c r="G29" s="104"/>
      <c r="H29" s="105"/>
    </row>
    <row r="30" spans="1:8" ht="99.75" x14ac:dyDescent="0.25">
      <c r="A30" s="111" t="str">
        <f t="shared" si="1"/>
        <v>[CustRegistration-22]</v>
      </c>
      <c r="B30" s="101" t="s">
        <v>111</v>
      </c>
      <c r="C30" s="101" t="s">
        <v>153</v>
      </c>
      <c r="D30" s="101" t="s">
        <v>112</v>
      </c>
      <c r="E30" s="103" t="s">
        <v>73</v>
      </c>
      <c r="F30" s="103" t="s">
        <v>41</v>
      </c>
      <c r="G30" s="104"/>
      <c r="H30" s="105"/>
    </row>
    <row r="31" spans="1:8" ht="114" x14ac:dyDescent="0.25">
      <c r="A31" s="111" t="str">
        <f t="shared" si="1"/>
        <v>[CustRegistration-23]</v>
      </c>
      <c r="B31" s="101" t="s">
        <v>113</v>
      </c>
      <c r="C31" s="101" t="s">
        <v>154</v>
      </c>
      <c r="D31" s="101" t="s">
        <v>114</v>
      </c>
      <c r="E31" s="103" t="s">
        <v>73</v>
      </c>
      <c r="F31" s="103" t="s">
        <v>41</v>
      </c>
      <c r="G31" s="104"/>
      <c r="H31" s="105"/>
    </row>
    <row r="32" spans="1:8" ht="85.5" x14ac:dyDescent="0.25">
      <c r="A32" s="111" t="str">
        <f t="shared" si="1"/>
        <v>[CustRegistration-24]</v>
      </c>
      <c r="B32" s="101" t="s">
        <v>115</v>
      </c>
      <c r="C32" s="101" t="s">
        <v>155</v>
      </c>
      <c r="D32" s="101" t="s">
        <v>116</v>
      </c>
      <c r="E32" s="103" t="s">
        <v>73</v>
      </c>
      <c r="F32" s="103" t="s">
        <v>41</v>
      </c>
      <c r="G32" s="104"/>
      <c r="H32" s="105"/>
    </row>
    <row r="33" spans="1:8" ht="85.5" x14ac:dyDescent="0.25">
      <c r="A33" s="111" t="str">
        <f t="shared" si="1"/>
        <v>[CustRegistration-25]</v>
      </c>
      <c r="B33" s="101" t="s">
        <v>117</v>
      </c>
      <c r="C33" s="101" t="s">
        <v>156</v>
      </c>
      <c r="D33" s="101" t="s">
        <v>118</v>
      </c>
      <c r="E33" s="103" t="s">
        <v>73</v>
      </c>
      <c r="F33" s="103" t="s">
        <v>41</v>
      </c>
      <c r="G33" s="104"/>
      <c r="H33" s="105"/>
    </row>
    <row r="34" spans="1:8" ht="99.75" x14ac:dyDescent="0.25">
      <c r="A34" s="111" t="str">
        <f t="shared" si="1"/>
        <v>[CustRegistration-26]</v>
      </c>
      <c r="B34" s="101" t="s">
        <v>119</v>
      </c>
      <c r="C34" s="101" t="s">
        <v>157</v>
      </c>
      <c r="D34" s="101" t="s">
        <v>120</v>
      </c>
      <c r="E34" s="103" t="s">
        <v>73</v>
      </c>
      <c r="F34" s="103" t="s">
        <v>41</v>
      </c>
      <c r="G34" s="104"/>
      <c r="H34" s="105"/>
    </row>
    <row r="35" spans="1:8" ht="99.75" x14ac:dyDescent="0.25">
      <c r="A35" s="111" t="str">
        <f t="shared" si="1"/>
        <v>[CustRegistration-27]</v>
      </c>
      <c r="B35" s="101" t="s">
        <v>121</v>
      </c>
      <c r="C35" s="101" t="s">
        <v>158</v>
      </c>
      <c r="D35" s="101" t="s">
        <v>122</v>
      </c>
      <c r="E35" s="103" t="s">
        <v>73</v>
      </c>
      <c r="F35" s="103" t="s">
        <v>41</v>
      </c>
      <c r="G35" s="104"/>
      <c r="H35" s="105"/>
    </row>
    <row r="36" spans="1:8" ht="99.75" x14ac:dyDescent="0.25">
      <c r="A36" s="111" t="str">
        <f t="shared" si="1"/>
        <v>[CustRegistration-28]</v>
      </c>
      <c r="B36" s="101" t="s">
        <v>123</v>
      </c>
      <c r="C36" s="101" t="s">
        <v>159</v>
      </c>
      <c r="D36" s="101" t="s">
        <v>124</v>
      </c>
      <c r="E36" s="103" t="s">
        <v>73</v>
      </c>
      <c r="F36" s="103" t="s">
        <v>41</v>
      </c>
      <c r="G36" s="104"/>
      <c r="H36" s="105"/>
    </row>
    <row r="37" spans="1:8" ht="114" x14ac:dyDescent="0.25">
      <c r="A37" s="111" t="str">
        <f t="shared" si="1"/>
        <v>[CustRegistration-29]</v>
      </c>
      <c r="B37" s="101" t="s">
        <v>125</v>
      </c>
      <c r="C37" s="101" t="s">
        <v>160</v>
      </c>
      <c r="D37" s="101" t="s">
        <v>126</v>
      </c>
      <c r="E37" s="103" t="s">
        <v>73</v>
      </c>
      <c r="F37" s="103" t="s">
        <v>41</v>
      </c>
      <c r="G37" s="104"/>
      <c r="H37" s="105"/>
    </row>
    <row r="38" spans="1:8" ht="85.5" x14ac:dyDescent="0.25">
      <c r="A38" s="112" t="str">
        <f t="shared" si="1"/>
        <v>[CustRegistration-30]</v>
      </c>
      <c r="B38" s="102" t="s">
        <v>127</v>
      </c>
      <c r="C38" s="102" t="s">
        <v>161</v>
      </c>
      <c r="D38" s="102" t="s">
        <v>128</v>
      </c>
      <c r="E38" s="107" t="s">
        <v>71</v>
      </c>
      <c r="F38" s="107" t="s">
        <v>41</v>
      </c>
      <c r="G38" s="108"/>
      <c r="H38" s="10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64" xr:uid="{CFDD683C-3A3C-4A6D-A9C3-9389FC9965A2}">
      <formula1>$J$2:$J$6</formula1>
    </dataValidation>
  </dataValidations>
  <pageMargins left="0.7" right="0.7" top="0.75" bottom="0.75" header="0" footer="0"/>
  <pageSetup orientation="landscape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E19" sqref="E19"/>
    </sheetView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6" width="10.28515625" customWidth="1"/>
    <col min="7" max="7" width="12.85546875" customWidth="1"/>
    <col min="8" max="8" width="11.7109375" customWidth="1"/>
    <col min="9" max="9" width="30.140625" customWidth="1"/>
    <col min="10" max="26" width="9.140625" customWidth="1"/>
  </cols>
  <sheetData>
    <row r="1" spans="1:26" ht="25.5" customHeight="1" x14ac:dyDescent="0.35">
      <c r="A1" s="5"/>
      <c r="B1" s="95" t="s">
        <v>53</v>
      </c>
      <c r="C1" s="96"/>
      <c r="D1" s="96"/>
      <c r="E1" s="96"/>
      <c r="F1" s="96"/>
      <c r="G1" s="96"/>
      <c r="H1" s="9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47"/>
      <c r="B2" s="47"/>
      <c r="C2" s="5"/>
      <c r="D2" s="5"/>
      <c r="E2" s="5"/>
      <c r="F2" s="5"/>
      <c r="G2" s="5"/>
      <c r="H2" s="4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5">
      <c r="A3" s="5"/>
      <c r="B3" s="49" t="s">
        <v>1</v>
      </c>
      <c r="C3" s="88" t="str">
        <f>Cover!C4</f>
        <v>group02-mahocommerce-testing</v>
      </c>
      <c r="D3" s="76"/>
      <c r="E3" s="94" t="s">
        <v>2</v>
      </c>
      <c r="F3" s="76"/>
      <c r="G3" s="125" t="s">
        <v>68</v>
      </c>
      <c r="H3" s="5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 x14ac:dyDescent="0.25">
      <c r="A4" s="5"/>
      <c r="B4" s="49" t="s">
        <v>3</v>
      </c>
      <c r="C4" s="88" t="str">
        <f>Cover!C5</f>
        <v>group02-mahocommerce-testing</v>
      </c>
      <c r="D4" s="76"/>
      <c r="E4" s="94" t="s">
        <v>4</v>
      </c>
      <c r="F4" s="76"/>
      <c r="G4" s="125" t="s">
        <v>192</v>
      </c>
      <c r="H4" s="5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 x14ac:dyDescent="0.25">
      <c r="A5" s="5"/>
      <c r="B5" s="51" t="s">
        <v>5</v>
      </c>
      <c r="C5" s="88" t="str">
        <f>C4&amp;"_"&amp;"Test Report"&amp;"_"&amp;"v0.1"</f>
        <v>group02-mahocommerce-testing_Test Report_v0.1</v>
      </c>
      <c r="D5" s="76"/>
      <c r="E5" s="94" t="s">
        <v>6</v>
      </c>
      <c r="F5" s="76"/>
      <c r="G5" s="52">
        <v>46316</v>
      </c>
      <c r="H5" s="5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9.25" customHeight="1" x14ac:dyDescent="0.25">
      <c r="A6" s="47"/>
      <c r="B6" s="51" t="s">
        <v>54</v>
      </c>
      <c r="C6" s="90" t="s">
        <v>55</v>
      </c>
      <c r="D6" s="75"/>
      <c r="E6" s="75"/>
      <c r="F6" s="75"/>
      <c r="G6" s="75"/>
      <c r="H6" s="7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47"/>
      <c r="B7" s="9"/>
      <c r="C7" s="54"/>
      <c r="D7" s="5"/>
      <c r="E7" s="5"/>
      <c r="F7" s="5"/>
      <c r="G7" s="5"/>
      <c r="H7" s="4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9"/>
      <c r="C8" s="54"/>
      <c r="D8" s="5"/>
      <c r="E8" s="5"/>
      <c r="F8" s="5"/>
      <c r="G8" s="5"/>
      <c r="H8" s="4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5"/>
      <c r="B10" s="56" t="s">
        <v>20</v>
      </c>
      <c r="C10" s="57" t="s">
        <v>56</v>
      </c>
      <c r="D10" s="58" t="s">
        <v>57</v>
      </c>
      <c r="E10" s="57" t="s">
        <v>58</v>
      </c>
      <c r="F10" s="57" t="s">
        <v>41</v>
      </c>
      <c r="G10" s="59" t="s">
        <v>40</v>
      </c>
      <c r="H10" s="60" t="s">
        <v>42</v>
      </c>
      <c r="I10" s="60" t="s">
        <v>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55"/>
      <c r="B11" s="61">
        <v>1</v>
      </c>
      <c r="C11" s="62" t="e" cm="1" vm="1">
        <f t="array" aca="1" ref="C11" ca="1">'Test Report'!B2:H2</f>
        <v>#VALUE!</v>
      </c>
      <c r="D11" s="63" t="e">
        <f>#REF!</f>
        <v>#REF!</v>
      </c>
      <c r="E11" s="63" t="e">
        <f>#REF!</f>
        <v>#REF!</v>
      </c>
      <c r="F11" s="63" t="e">
        <f>#REF!</f>
        <v>#REF!</v>
      </c>
      <c r="G11" s="64" t="e">
        <f>#REF!</f>
        <v>#REF!</v>
      </c>
      <c r="H11" s="64" t="e">
        <f>#REF!</f>
        <v>#REF!</v>
      </c>
      <c r="I11" s="65" t="e">
        <f>#REF!</f>
        <v>#REF!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55"/>
      <c r="B12" s="61">
        <v>2</v>
      </c>
      <c r="C12" s="62" t="e">
        <f>#REF!</f>
        <v>#REF!</v>
      </c>
      <c r="D12" s="63" t="e">
        <f>#REF!</f>
        <v>#REF!</v>
      </c>
      <c r="E12" s="63" t="e">
        <f>#REF!</f>
        <v>#REF!</v>
      </c>
      <c r="F12" s="63" t="e">
        <f>#REF!</f>
        <v>#REF!</v>
      </c>
      <c r="G12" s="64" t="e">
        <f>#REF!</f>
        <v>#REF!</v>
      </c>
      <c r="H12" s="64" t="e">
        <f>#REF!</f>
        <v>#REF!</v>
      </c>
      <c r="I12" s="65" t="e">
        <f>#REF!</f>
        <v>#REF!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55"/>
      <c r="B13" s="61">
        <v>3</v>
      </c>
      <c r="C13" s="62" t="e">
        <f>#REF!</f>
        <v>#REF!</v>
      </c>
      <c r="D13" s="63" t="e">
        <f>#REF!</f>
        <v>#REF!</v>
      </c>
      <c r="E13" s="63" t="e">
        <f>#REF!</f>
        <v>#REF!</v>
      </c>
      <c r="F13" s="63" t="e">
        <f>#REF!</f>
        <v>#REF!</v>
      </c>
      <c r="G13" s="63" t="e">
        <f>#REF!</f>
        <v>#REF!</v>
      </c>
      <c r="H13" s="63" t="e">
        <f>#REF!</f>
        <v>#REF!</v>
      </c>
      <c r="I13" s="65" t="e">
        <f>#REF!</f>
        <v>#REF!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55"/>
      <c r="B14" s="61"/>
      <c r="C14" s="62"/>
      <c r="D14" s="63"/>
      <c r="E14" s="63"/>
      <c r="F14" s="63"/>
      <c r="G14" s="64"/>
      <c r="H14" s="64"/>
      <c r="I14" s="6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55"/>
      <c r="B15" s="66"/>
      <c r="C15" s="67" t="s">
        <v>60</v>
      </c>
      <c r="D15" s="68" t="e">
        <f t="shared" ref="D15:I15" si="0">SUM(D9:D14)</f>
        <v>#REF!</v>
      </c>
      <c r="E15" s="68" t="e">
        <f t="shared" si="0"/>
        <v>#REF!</v>
      </c>
      <c r="F15" s="68" t="e">
        <f t="shared" si="0"/>
        <v>#REF!</v>
      </c>
      <c r="G15" s="68" t="e">
        <f t="shared" si="0"/>
        <v>#REF!</v>
      </c>
      <c r="H15" s="69" t="e">
        <f t="shared" si="0"/>
        <v>#REF!</v>
      </c>
      <c r="I15" s="69" t="e">
        <f t="shared" si="0"/>
        <v>#REF!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5"/>
      <c r="B16" s="70"/>
      <c r="C16" s="5"/>
      <c r="D16" s="71"/>
      <c r="E16" s="72"/>
      <c r="F16" s="72"/>
      <c r="G16" s="72"/>
      <c r="H16" s="7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5"/>
      <c r="B17" s="5"/>
      <c r="C17" s="3" t="s">
        <v>61</v>
      </c>
      <c r="D17" s="5"/>
      <c r="E17" s="73" t="e">
        <f>(D15+E15)*100/(I15-H15-G15)</f>
        <v>#REF!</v>
      </c>
      <c r="F17" s="5" t="s">
        <v>62</v>
      </c>
      <c r="G17" s="5"/>
      <c r="H17" s="4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5"/>
      <c r="B18" s="5"/>
      <c r="C18" s="3" t="s">
        <v>63</v>
      </c>
      <c r="D18" s="5"/>
      <c r="E18" s="73" t="e">
        <f>D15*100/(D15+E15)</f>
        <v>#REF!</v>
      </c>
      <c r="F18" s="5" t="s">
        <v>62</v>
      </c>
      <c r="G18" s="5"/>
      <c r="H18" s="4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Test Design</vt:lpstr>
      <vt:lpstr>Registration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Thiet Vo Van</cp:lastModifiedBy>
  <dcterms:created xsi:type="dcterms:W3CDTF">2014-07-14T08:56:24Z</dcterms:created>
  <dcterms:modified xsi:type="dcterms:W3CDTF">2026-10-23T14:04:20Z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